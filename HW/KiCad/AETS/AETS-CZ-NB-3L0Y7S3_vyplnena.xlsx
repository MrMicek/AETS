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uiv10467_vitesco_com/Documents/Plocha/AETS/AETS/HW/KiCad/AETS/"/>
    </mc:Choice>
  </mc:AlternateContent>
  <xr:revisionPtr revIDLastSave="441" documentId="8_{3FC1093F-7553-48B3-8AE6-5FD37BCBA7B3}" xr6:coauthVersionLast="47" xr6:coauthVersionMax="47" xr10:uidLastSave="{76507BFE-F380-494D-9AF7-96BB4CC60B69}"/>
  <bookViews>
    <workbookView xWindow="-16320" yWindow="-120" windowWidth="16440" windowHeight="28320" xr2:uid="{6ABB2B52-E43F-489D-A699-C68BCEE506EC}"/>
  </bookViews>
  <sheets>
    <sheet name="AETS-CZ-NB-3L0Y7S3" sheetId="3" r:id="rId1"/>
  </sheets>
  <definedNames>
    <definedName name="ExternalData_1" localSheetId="0" hidden="1">'AETS-CZ-NB-3L0Y7S3'!$A$1:$F$74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3" l="1"/>
  <c r="E65" i="3"/>
  <c r="H65" i="3" s="1"/>
  <c r="E2" i="3"/>
  <c r="H2" i="3" s="1"/>
  <c r="E3" i="3"/>
  <c r="H3" i="3" s="1"/>
  <c r="E4" i="3"/>
  <c r="H4" i="3" s="1"/>
  <c r="E5" i="3"/>
  <c r="H5" i="3" s="1"/>
  <c r="E6" i="3"/>
  <c r="H6" i="3" s="1"/>
  <c r="E7" i="3"/>
  <c r="H7" i="3" s="1"/>
  <c r="E8" i="3"/>
  <c r="H8" i="3" s="1"/>
  <c r="E9" i="3"/>
  <c r="H9" i="3" s="1"/>
  <c r="E10" i="3"/>
  <c r="H10" i="3" s="1"/>
  <c r="E11" i="3"/>
  <c r="H11" i="3" s="1"/>
  <c r="E12" i="3"/>
  <c r="H12" i="3" s="1"/>
  <c r="E13" i="3"/>
  <c r="H13" i="3" s="1"/>
  <c r="E14" i="3"/>
  <c r="H14" i="3" s="1"/>
  <c r="E15" i="3"/>
  <c r="H15" i="3" s="1"/>
  <c r="E16" i="3"/>
  <c r="H16" i="3" s="1"/>
  <c r="E17" i="3"/>
  <c r="H17" i="3" s="1"/>
  <c r="E18" i="3"/>
  <c r="H18" i="3" s="1"/>
  <c r="E19" i="3"/>
  <c r="H19" i="3" s="1"/>
  <c r="E20" i="3"/>
  <c r="H20" i="3" s="1"/>
  <c r="E21" i="3"/>
  <c r="H21" i="3" s="1"/>
  <c r="E22" i="3"/>
  <c r="H22" i="3" s="1"/>
  <c r="E23" i="3"/>
  <c r="H23" i="3" s="1"/>
  <c r="E24" i="3"/>
  <c r="H24" i="3" s="1"/>
  <c r="E25" i="3"/>
  <c r="H25" i="3" s="1"/>
  <c r="E26" i="3"/>
  <c r="H26" i="3" s="1"/>
  <c r="E27" i="3"/>
  <c r="H27" i="3" s="1"/>
  <c r="E28" i="3"/>
  <c r="H28" i="3" s="1"/>
  <c r="E29" i="3"/>
  <c r="H29" i="3" s="1"/>
  <c r="E30" i="3"/>
  <c r="H30" i="3" s="1"/>
  <c r="E31" i="3"/>
  <c r="H31" i="3" s="1"/>
  <c r="E32" i="3"/>
  <c r="H32" i="3" s="1"/>
  <c r="E33" i="3"/>
  <c r="H33" i="3" s="1"/>
  <c r="E34" i="3"/>
  <c r="H34" i="3" s="1"/>
  <c r="E35" i="3"/>
  <c r="H35" i="3" s="1"/>
  <c r="E36" i="3"/>
  <c r="H36" i="3" s="1"/>
  <c r="E37" i="3"/>
  <c r="H37" i="3" s="1"/>
  <c r="E38" i="3"/>
  <c r="H38" i="3" s="1"/>
  <c r="E39" i="3"/>
  <c r="H39" i="3" s="1"/>
  <c r="E40" i="3"/>
  <c r="H40" i="3" s="1"/>
  <c r="E41" i="3"/>
  <c r="H41" i="3" s="1"/>
  <c r="E42" i="3"/>
  <c r="H42" i="3" s="1"/>
  <c r="E43" i="3"/>
  <c r="H43" i="3" s="1"/>
  <c r="E44" i="3"/>
  <c r="H44" i="3" s="1"/>
  <c r="E45" i="3"/>
  <c r="H45" i="3" s="1"/>
  <c r="E46" i="3"/>
  <c r="H46" i="3" s="1"/>
  <c r="E47" i="3"/>
  <c r="H47" i="3" s="1"/>
  <c r="E48" i="3"/>
  <c r="H48" i="3" s="1"/>
  <c r="E49" i="3"/>
  <c r="H49" i="3" s="1"/>
  <c r="E50" i="3"/>
  <c r="H50" i="3" s="1"/>
  <c r="E51" i="3"/>
  <c r="H51" i="3" s="1"/>
  <c r="E52" i="3"/>
  <c r="H52" i="3" s="1"/>
  <c r="E53" i="3"/>
  <c r="H53" i="3" s="1"/>
  <c r="E54" i="3"/>
  <c r="H54" i="3" s="1"/>
  <c r="E55" i="3"/>
  <c r="H55" i="3" s="1"/>
  <c r="E56" i="3"/>
  <c r="H56" i="3" s="1"/>
  <c r="E57" i="3"/>
  <c r="H57" i="3" s="1"/>
  <c r="E58" i="3"/>
  <c r="H58" i="3" s="1"/>
  <c r="E59" i="3"/>
  <c r="H59" i="3" s="1"/>
  <c r="E60" i="3"/>
  <c r="H60" i="3" s="1"/>
  <c r="E61" i="3"/>
  <c r="H61" i="3" s="1"/>
  <c r="E62" i="3"/>
  <c r="H62" i="3" s="1"/>
  <c r="E63" i="3"/>
  <c r="H63" i="3" s="1"/>
  <c r="E64" i="3"/>
  <c r="H64" i="3" s="1"/>
  <c r="E66" i="3"/>
  <c r="H66" i="3" s="1"/>
  <c r="E67" i="3"/>
  <c r="H67" i="3" s="1"/>
  <c r="E68" i="3"/>
  <c r="H68" i="3" s="1"/>
  <c r="E69" i="3"/>
  <c r="H69" i="3" s="1"/>
  <c r="E70" i="3"/>
  <c r="H70" i="3" s="1"/>
  <c r="E72" i="3"/>
  <c r="H72" i="3" s="1"/>
  <c r="E73" i="3"/>
  <c r="H73" i="3" s="1"/>
  <c r="E74" i="3"/>
  <c r="H74" i="3" s="1"/>
  <c r="H71" i="3"/>
  <c r="H76" i="3" l="1"/>
  <c r="H7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E07170-BC7F-44B4-82ED-8C16BC466895}" keepAlive="1" name="Dotaz – AETS-CZ-NB-3L0Y7S3" description="Připojení k dotazu produktu AETS-CZ-NB-3L0Y7S3 v sešitě" type="5" refreshedVersion="8" background="1" saveData="1">
    <dbPr connection="Provider=Microsoft.Mashup.OleDb.1;Data Source=$Workbook$;Location=AETS-CZ-NB-3L0Y7S3;Extended Properties=&quot;&quot;" command="SELECT * FROM [AETS-CZ-NB-3L0Y7S3]"/>
  </connection>
</connections>
</file>

<file path=xl/sharedStrings.xml><?xml version="1.0" encoding="utf-8"?>
<sst xmlns="http://schemas.openxmlformats.org/spreadsheetml/2006/main" count="287" uniqueCount="259">
  <si>
    <t>Id</t>
  </si>
  <si>
    <t>Designator</t>
  </si>
  <si>
    <t>Footprint</t>
  </si>
  <si>
    <t>Quantity</t>
  </si>
  <si>
    <t>Designation</t>
  </si>
  <si>
    <t>C49,C47,C33,C61,C59,C34,C57,C48,C10,C56,C50,C55,C67,C62</t>
  </si>
  <si>
    <t>C_0805_2012Metric</t>
  </si>
  <si>
    <t>10nF</t>
  </si>
  <si>
    <t>R24,R39,R14,R38,R5,R59,R58,R25,R30,R31,R15</t>
  </si>
  <si>
    <t>R_0805_2012Metric</t>
  </si>
  <si>
    <t>10R</t>
  </si>
  <si>
    <t>C63,C39,C64,C25,C20,C60,C13,C19,C58,C41,C52,C6,C5,C65,C51,C40,C42,C24,C12,C1,C4,C66,C29,C53,C68,C45,C31,C46,C54</t>
  </si>
  <si>
    <t>100nF</t>
  </si>
  <si>
    <t>R26,R16,R27,R17,R46</t>
  </si>
  <si>
    <t>500R</t>
  </si>
  <si>
    <t>C30,C36,C35,C32</t>
  </si>
  <si>
    <t>470nF</t>
  </si>
  <si>
    <t>R47,R57</t>
  </si>
  <si>
    <t>R_0603_1608Metric</t>
  </si>
  <si>
    <t>1k5</t>
  </si>
  <si>
    <t>R40,R35,R42,R49,R41,R32,R45,R48,R37,R60,R34,R44,R36,R33,R9,R50,R43</t>
  </si>
  <si>
    <t>10k</t>
  </si>
  <si>
    <t>C27,C28</t>
  </si>
  <si>
    <t>EEEHP1H4R7P</t>
  </si>
  <si>
    <t>68uF</t>
  </si>
  <si>
    <t>IC6,IC5</t>
  </si>
  <si>
    <t>SOT95P280X145-5N</t>
  </si>
  <si>
    <t>TPS7B6933DBVR</t>
  </si>
  <si>
    <t>C23,C18,C21,C22,C26,C15</t>
  </si>
  <si>
    <t>C_0603_1608Metric</t>
  </si>
  <si>
    <t>R2</t>
  </si>
  <si>
    <t>1M</t>
  </si>
  <si>
    <t>Q12,Q14,Q11,Q13</t>
  </si>
  <si>
    <t>SOT96P240X110-3N</t>
  </si>
  <si>
    <t>Q4,Q3</t>
  </si>
  <si>
    <t>APC817A1SL</t>
  </si>
  <si>
    <t>APC-817A1-SL</t>
  </si>
  <si>
    <t>D4,D20,D3,D17,D16,D15</t>
  </si>
  <si>
    <t>DIONC1608X70N</t>
  </si>
  <si>
    <t>TESDU5V0 RGG</t>
  </si>
  <si>
    <t>J1</t>
  </si>
  <si>
    <t>DC10AFC68148</t>
  </si>
  <si>
    <t>DC-10A FC68148</t>
  </si>
  <si>
    <t>J4,J10,J3</t>
  </si>
  <si>
    <t>VBI211</t>
  </si>
  <si>
    <t>Conn_Coaxial</t>
  </si>
  <si>
    <t>Q1,Q2,Q15,Q5,Q6</t>
  </si>
  <si>
    <t>SOT95P240X120-3N</t>
  </si>
  <si>
    <t>U4,U3,U8,U7</t>
  </si>
  <si>
    <t>SOIC-8_3.9x4.9mm_P1.27mm</t>
  </si>
  <si>
    <t>ACS724xLCTR-2P5AB</t>
  </si>
  <si>
    <t>C2,C3</t>
  </si>
  <si>
    <t>10pF</t>
  </si>
  <si>
    <t>J8</t>
  </si>
  <si>
    <t>PinHeader_1x05_P2.54mm_Vertical</t>
  </si>
  <si>
    <t>Conn_01x05_Pin</t>
  </si>
  <si>
    <t>D2</t>
  </si>
  <si>
    <t>DIOM5436X244N</t>
  </si>
  <si>
    <t>1.5B18CA-M3/H</t>
  </si>
  <si>
    <t>R19,R56,R23,R22,R21,R18,R20</t>
  </si>
  <si>
    <t>100R</t>
  </si>
  <si>
    <t>PS2,PS1</t>
  </si>
  <si>
    <t>Converter_DCDC_XP_POWER-IAxxxxS_THT</t>
  </si>
  <si>
    <t>IA1205S</t>
  </si>
  <si>
    <t>R29,R1,R28,R52</t>
  </si>
  <si>
    <t>0R</t>
  </si>
  <si>
    <t>C44,C43,C7</t>
  </si>
  <si>
    <t>4,7nF</t>
  </si>
  <si>
    <t>SHDR5W64P0X250_1X5_1490X575X700P</t>
  </si>
  <si>
    <t>B5B-XH-A__LF__SN_</t>
  </si>
  <si>
    <t>D1</t>
  </si>
  <si>
    <t>VS-10BQ015HM3_5BT</t>
  </si>
  <si>
    <t>Y1</t>
  </si>
  <si>
    <t>ECS4001833JGNTR3</t>
  </si>
  <si>
    <t>Crystal_GND24</t>
  </si>
  <si>
    <t>C14,C16,C17,C11</t>
  </si>
  <si>
    <t>C_1210_3225Metric</t>
  </si>
  <si>
    <t>4,7uF</t>
  </si>
  <si>
    <t>R51,R8,R53,R12,R61,R13</t>
  </si>
  <si>
    <t>100k</t>
  </si>
  <si>
    <t>IC8,IC7</t>
  </si>
  <si>
    <t>74LVC1G3157GW125</t>
  </si>
  <si>
    <t>74LVC1G3157GW,125</t>
  </si>
  <si>
    <t>Q16</t>
  </si>
  <si>
    <t>DMP3098LQ-7</t>
  </si>
  <si>
    <t>R6,R7</t>
  </si>
  <si>
    <t>2k2</t>
  </si>
  <si>
    <t>K2,K4,K3,K1</t>
  </si>
  <si>
    <t>95152SMA</t>
  </si>
  <si>
    <t>95.15.2SMA</t>
  </si>
  <si>
    <t>J7</t>
  </si>
  <si>
    <t>G17C0910132EU</t>
  </si>
  <si>
    <t>DE9_Plug_MountingHoles</t>
  </si>
  <si>
    <t>D8,D7</t>
  </si>
  <si>
    <t>LED_D3.0mm</t>
  </si>
  <si>
    <t>LED_BNC</t>
  </si>
  <si>
    <t>FB1</t>
  </si>
  <si>
    <t>U1,U5,U6,U10,U2,U9</t>
  </si>
  <si>
    <t>178.6165.0002</t>
  </si>
  <si>
    <t>LS1</t>
  </si>
  <si>
    <t>PS1240P02BT</t>
  </si>
  <si>
    <t>IC2</t>
  </si>
  <si>
    <t>SOIC127P600X175-8N</t>
  </si>
  <si>
    <t>M24512-DRMN8TP_K</t>
  </si>
  <si>
    <t>J2</t>
  </si>
  <si>
    <t>PinHeader_1x14_P2.54mm_Vertical</t>
  </si>
  <si>
    <t>Conn_01x14_Pin</t>
  </si>
  <si>
    <t>F1</t>
  </si>
  <si>
    <t>R_0402_1005Metric</t>
  </si>
  <si>
    <t>J9</t>
  </si>
  <si>
    <t>USB_C_Receptacle_GCT_USB4105-xx-A_16P_TopMnt_Horizontal</t>
  </si>
  <si>
    <t>USB_C_Receptacle_USB2.0</t>
  </si>
  <si>
    <t>R54,R55</t>
  </si>
  <si>
    <t>5k1</t>
  </si>
  <si>
    <t>IC3</t>
  </si>
  <si>
    <t>L4931CDT50TR</t>
  </si>
  <si>
    <t>LD29080DT50R</t>
  </si>
  <si>
    <t>Q8,Q10,Q9,Q7</t>
  </si>
  <si>
    <t>SI7141DPT1GE3</t>
  </si>
  <si>
    <t>SI7489DP-T1-GE3</t>
  </si>
  <si>
    <t>Z2,Z1</t>
  </si>
  <si>
    <t>SOT95P230X110-3N</t>
  </si>
  <si>
    <t>D9,D10</t>
  </si>
  <si>
    <t>SODFL5026X125N</t>
  </si>
  <si>
    <t>10V</t>
  </si>
  <si>
    <t>D18</t>
  </si>
  <si>
    <t>SOT95P280X145-6N</t>
  </si>
  <si>
    <t>TPD2S017DBVR</t>
  </si>
  <si>
    <t>D6,D5</t>
  </si>
  <si>
    <t>LED_MCU</t>
  </si>
  <si>
    <t>D19</t>
  </si>
  <si>
    <t>SOT-23</t>
  </si>
  <si>
    <t>BAT54S</t>
  </si>
  <si>
    <t>IC4</t>
  </si>
  <si>
    <t>QFP50P1200X1200X160-64N</t>
  </si>
  <si>
    <t>STM32G474RET6</t>
  </si>
  <si>
    <t>IC1</t>
  </si>
  <si>
    <t>MCP2542WFD-E_SN</t>
  </si>
  <si>
    <t>RV1,RV2</t>
  </si>
  <si>
    <t>VARC1608X90N</t>
  </si>
  <si>
    <t>AVR-M1608C270KTACB</t>
  </si>
  <si>
    <t>D11,D12,D14,D13</t>
  </si>
  <si>
    <t>SODFL3616X98N</t>
  </si>
  <si>
    <t>D_Schottky</t>
  </si>
  <si>
    <t>C38,C37</t>
  </si>
  <si>
    <t>470pF/2kV</t>
  </si>
  <si>
    <t>R10,R11</t>
  </si>
  <si>
    <t>R3,R4</t>
  </si>
  <si>
    <t>60,4R</t>
  </si>
  <si>
    <t>C9,C8</t>
  </si>
  <si>
    <t>47p</t>
  </si>
  <si>
    <t>price per pcs</t>
  </si>
  <si>
    <t>links</t>
  </si>
  <si>
    <t>https://cz.mouser.com/ProductDetail/KYOCERA-AVX/08055C472JAT2A?qs=sGAEpiMZZMvsSlwiRhF8qtBfdvAGmZnkMzvk2GPRVs0%3D</t>
  </si>
  <si>
    <t>total price</t>
  </si>
  <si>
    <t>https://cz.mouser.com/ProductDetail/KYOCERA-AVX/08055C103JAT4A?qs=sGAEpiMZZMvsSlwiRhF8qsUJX4ZZq7O1nFGxtzA9E4U%3D</t>
  </si>
  <si>
    <t>https://cz.mouser.com/ProductDetail/KEMET/C0603C100J5RACTU?qs=y%252BHbsf6ovcfaLkEt1SR70Q%3D%3D</t>
  </si>
  <si>
    <t>https://cz.mouser.com/ProductDetail/KEMET/C0805C470J5RACTU?qs=gt1LBUVyoHlbpLRjfP%252BJ1A%3D%3D</t>
  </si>
  <si>
    <t>https://cz.mouser.com/ProductDetail/KYOCERA-AVX/KGM15BR71H104JT?qs=sGAEpiMZZMvsSlwiRhF8qrQG6leidpLj9XamEe3EIvrdHgR474JYHA%3D%3D</t>
  </si>
  <si>
    <t>https://cz.mouser.com/ProductDetail/KYOCERA-AVX/KAF21BR71H104JM?qs=sGAEpiMZZMvsSlwiRhF8qrQG6leidpLjTjPQazu%252BEce8bmvAw4TAbA%3D%3D</t>
  </si>
  <si>
    <t>https://cz.mouser.com/ProductDetail/Panasonic/EEE-FP1C680AL?qs=vmHwEFxEFR%252B62ky9jeZXug%3D%3D</t>
  </si>
  <si>
    <t>https://cz.mouser.com/ProductDetail/KYOCERA-AVX/08055C474KAZ4A?qs=sGAEpiMZZMvsSlwiRhF8qrStdQmkkjBltYaUnkrsI0s05VEip6zo%2FQ%3D%3D</t>
  </si>
  <si>
    <t>https://cz.mouser.com/ProductDetail/KYOCERA-AVX/KGM32HR73D471KU?qs=sGAEpiMZZMvsSlwiRhF8qrQG6leidpLj3CDtSGZn%2F8t8PkTmQ9lNRg%3D%3D</t>
  </si>
  <si>
    <t>https://cz.mouser.com/ProductDetail/Vishay-Semiconductors/VS-10BQ015HM3-5BT?qs=p1ya7m3AA0AlGZ3N6%2FCsfw%3D%3D</t>
  </si>
  <si>
    <t>https://cz.mouser.com/ProductDetail/onsemi/MBR230LSFT1G?qs=Jh7l0IbPjid1ZBeNXVj%2FnA%3D%3D</t>
  </si>
  <si>
    <t>https://cz.mouser.com/ProductDetail/Texas-Instruments/TPD2S017DBVR?qs=OaSNdy%2FNfznGQ7ML7Wt%252BOg%3D%3D</t>
  </si>
  <si>
    <t>https://cz.mouser.com/ProductDetail/Diotec-Semiconductor/BAT54S?qs=OlC7AqGiEDl5%2FwzZD7rGmQ%3D%3D</t>
  </si>
  <si>
    <t>https://cz.mouser.com/ProductDetail/Vishay/1.5B18CA-M3-H?qs=7%2F6SraaimPSHmMmVYKcERQ%3D%3D</t>
  </si>
  <si>
    <t>https://cz.mouser.com/ProductDetail/Taiwan-Semiconductor/TESDU5V0-RGG?qs=QEzMiVqgwc1ZDipmgySSHQ%3D%3D</t>
  </si>
  <si>
    <t>https://cz.mouser.com/ProductDetail/Murata-Electronics/BLM21SP601SH1D?qs=17u8i%2FzlE89O6NnGGVLYAA%3D%3D</t>
  </si>
  <si>
    <t>BLM21SP601SH1D</t>
  </si>
  <si>
    <t>https://cz.mouser.com/ProductDetail/Microchip-Technology/MCP2542WFD-E-SN?qs=qdgZG5p0FZ7OaaJ5dRIIPw%3D%3D</t>
  </si>
  <si>
    <t>https://cz.mouser.com/ProductDetail/STMicroelectronics/M24512-DRMN8TP-K?qs=bzW4KIwE9U2JH6dTS5bAyA%3D%3D</t>
  </si>
  <si>
    <t>https://cz.mouser.com/ProductDetail/STMicroelectronics/LD29080DT50R?qs=22WmWNTp1rrXQIBxhkME0A%3D%3D</t>
  </si>
  <si>
    <t>https://cz.mouser.com/ProductDetail/STMicroelectronics/STM32G474RET6?qs=PzGy0jfpSMvUBs7PMTDqlg%3D%3D</t>
  </si>
  <si>
    <t>https://cz.mouser.com/ProductDetail/Texas-Instruments/TPS7B6933DBVR?qs=zEmsApcVOkXMdnHMfXdU7Q%3D%3D</t>
  </si>
  <si>
    <t>https://cz.mouser.com/ProductDetail/Nexperia/74LVC1G3157GW125?qs=me8TqzrmIYXTNjH5%2FiBeXQ%3D%3D</t>
  </si>
  <si>
    <t>12V DC zdroj</t>
  </si>
  <si>
    <t>CLW-1812-W2E-ER-WH</t>
  </si>
  <si>
    <t>https://www.tme.eu/cz/details/clw-1812-w2e-er-wh/zasuvkove-napajeci-zdroje/cellevia-power/</t>
  </si>
  <si>
    <t>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</t>
  </si>
  <si>
    <t>https://cz.mouser.com/ProductDetail/Vitelec-Cinch-Connectivity-Solutions/VBI211?qs=HAjLtCtd%252BdbuFYdlw62UuQ%3D%3D</t>
  </si>
  <si>
    <t>https://www.tme.eu/cz/details/b5b-xh-a/signalove-konektory-raster-2-50mm/jst/b5b-xh-a-lf-sn/</t>
  </si>
  <si>
    <t>https://www.tme.eu/cz/details/xhp-5/signalove-konektory-raster-2-50mm/jst/</t>
  </si>
  <si>
    <t>XHP-5</t>
  </si>
  <si>
    <t>https://cz.mouser.com/ProductDetail/Amphenol-Commercial-Products/G17C0910132EU?qs=1VVaZAL47g1wqtt9KNnEiQ%3D%3D</t>
  </si>
  <si>
    <t>https://cz.mouser.com/ProductDetail/GCT/USB4105-GF-A?qs=KUoIvG%2F9IlY%2FMLlBMpStpA%3D%3D</t>
  </si>
  <si>
    <t>rele</t>
  </si>
  <si>
    <t>https://cz.mouser.com/ProductDetail/Phoenix-Contact/2961309?qs=xrHRiZ6CCZBt32l4wiEMxw%3D%3D</t>
  </si>
  <si>
    <t>spona pro rele matici</t>
  </si>
  <si>
    <t>https://www.tme.eu/cz/details/095.51/elektromagneticka-rele-prislusenstvi/finder/</t>
  </si>
  <si>
    <t>https://www.tme.eu/cz/details/95.15.2sma/elektromagneticka-rele-prislusenstvi/finder/</t>
  </si>
  <si>
    <t>https://cz.mouser.com/ProductDetail/TDK/PS1240P02BT?qs=d7g9p1yFhWaZXSY9MjKMkw%3D%3D</t>
  </si>
  <si>
    <t>https://cz.mouser.com/ProductDetail/XP-Power/IA1205S?qs=w%2Fv1CP2dgqo47WPNN%2FUazA%3D%3D</t>
  </si>
  <si>
    <t>https://cz.mouser.com/ProductDetail/Diotec-Semiconductor/MMBT3904?qs=OlC7AqGiEDkK1MwiyUU6mg%3D%3D</t>
  </si>
  <si>
    <t>MMBT3904</t>
  </si>
  <si>
    <t>https://cz.mouser.com/ProductDetail/Vishay-Semiconductors/SI7489DP-T1-GE3?qs=IRuQNBqMOclOgVkisGeeHg%3D%3D</t>
  </si>
  <si>
    <t>https://cz.mouser.com/ProductDetail/Diodes-Incorporated/DMN61D8LQ-7?qs=DBvH5xl4Uyka0o7WXOAQ%2FA%3D%3D</t>
  </si>
  <si>
    <t>DMN61D8LQ-7</t>
  </si>
  <si>
    <t>https://cz.mouser.com/ProductDetail/Diodes-Incorporated/DMP3098LQ-7?qs=HXFqYaX1Q2ynasjBVyITSA%3D%3D</t>
  </si>
  <si>
    <t>https://cz.mouser.com/ProductDetail/American-Bright-LED/APC-817A1-SL?qs=Y0Uzf4wQF3mmDsgauL3zUw%3D%3D</t>
  </si>
  <si>
    <t>https://cz.mouser.com/ProductDetail/ECS/ECS-400-18-33-JGN-TR3?qs=e8oIoAS2J1SLxEG9aPzeug%3D%3D</t>
  </si>
  <si>
    <t>https://cz.mouser.com/ProductDetail/TDK/AVR-M1608C270KTACB?qs=f0gCvUGw%252BIz%252B9wxpKEKvbg%3D%3D</t>
  </si>
  <si>
    <t>https://cz.mouser.com/ProductDetail/Littelfuse/178.6165.0002?qs=gu7KAQ731UT%2FkKyRBF134A%3D%3D</t>
  </si>
  <si>
    <t>https://cz.mouser.com/ProductDetail/Allegro-MicroSystems/ACS724LLCTR-2P5AB-T?qs=11PymoJGorKO3bW4uIzV2A%3D%3D</t>
  </si>
  <si>
    <t>https://cz.mouser.com/ProductDetail/SEI-Stackpole/RNCP0603FTD10K0?qs=sGAEpiMZZMtlubZbdhIBIA%252B43obPAL0tSi5uZreeU8A%3D</t>
  </si>
  <si>
    <t>https://cz.mouser.com/ProductDetail/Bourns/CR0805-FX-60R4ELF?qs=sGAEpiMZZMtlubZbdhIBIL%252BKkaYz7rs3f6V7yF55Z1E%3D</t>
  </si>
  <si>
    <t>https://cz.mouser.com/ProductDetail/Vishay/CRCW08055K10FKEAC?qs=sGAEpiMZZMtlubZbdhIBIIZe04wfiaJW8ZW3sZJ2u8w%3D</t>
  </si>
  <si>
    <t>https://cz.mouser.com/ProductDetail/YAGEO/AC0805FR-1310RL?qs=sGAEpiMZZMtlubZbdhIBIBy2RBRXlGLA9cErGDzjx%252B4%3D</t>
  </si>
  <si>
    <t>https://cz.mouser.com/ProductDetail/SEI-Stackpole/RNCP0603FTD1K50?qs=sGAEpiMZZMtlubZbdhIBIA%252B43obPAL0tN%2F1tl%252BBcIvA%3D</t>
  </si>
  <si>
    <t>https://cz.mouser.com/ProductDetail/Vishay/CRCW0805499RFKEA?qs=sGAEpiMZZMtlubZbdhIBIGv9EycWg%2Fv4acwv0nRDooo%3D</t>
  </si>
  <si>
    <t>https://cz.mouser.com/ProductDetail/YAGEO/RT0805FRE13100RL?qs=sGAEpiMZZMtlubZbdhIBIMaxnMKvEBNdDiJqTcimWwo%3D</t>
  </si>
  <si>
    <t>https://cz.mouser.com/ProductDetail/Vishay/CRCW0805100KFKEA?qs=sGAEpiMZZMtlubZbdhIBIKpw3Cj3Rl3MgRjH3xt31Ys%3D</t>
  </si>
  <si>
    <t>https://cz.mouser.com/ProductDetail/TE-Connectivity-Holsworthy/CRG0805F2K2?qs=DfH2yQaBz6tTfarX6CbcPg%3D%3D</t>
  </si>
  <si>
    <t>https://cz.mouser.com/ProductDetail/Vishay-Dale/RCC06031M00FKEA?qs=GedFDFLaBXHlMNeJInwoZg%3D%3D</t>
  </si>
  <si>
    <t>-</t>
  </si>
  <si>
    <t>https://cz.mouser.com/ProductDetail/Micro-Commercial-Components-MCC/SMAF4740A-TP?qs=%252BXxaIXUDbq1MJ0KKLTNFXg%3D%3D&amp;srsltid=AfmBOoqYeTTosdeYwsc0wm35OxT0_HliXKKNrIN4yjSJfA9mQquiVBTr</t>
  </si>
  <si>
    <t>display</t>
  </si>
  <si>
    <t>https://www.tme.eu/cz/details/nhd-0420cw-aw3/alfanumericke-oled-displeje/newhaven-display-international/</t>
  </si>
  <si>
    <t>NHD-0420CW-AW3</t>
  </si>
  <si>
    <t>enkóder</t>
  </si>
  <si>
    <t>PEC11H-4215F-S0024</t>
  </si>
  <si>
    <t>https://cz.mouser.com/ProductDetail/Bourns/PEC11H-4215F-S0024?qs=7MVldsJ5UazXQyTbCLch8g%3D%3D</t>
  </si>
  <si>
    <t>pojistky</t>
  </si>
  <si>
    <t>krabicka</t>
  </si>
  <si>
    <t>1455T1602</t>
  </si>
  <si>
    <t>https://www.tme.eu/cz/details/hm-1455t1602/krabicky-z-panelem/hammond/1455t1602/</t>
  </si>
  <si>
    <t>banana socket blue</t>
  </si>
  <si>
    <t>banana socket green</t>
  </si>
  <si>
    <t>MP770569</t>
  </si>
  <si>
    <t>MP770568</t>
  </si>
  <si>
    <t>https://cz.farnell.com/multicomp-pro/mp770569/conn-banana-jack-32a-blu/dp/3581091</t>
  </si>
  <si>
    <t>https://cz.farnell.com/multicomp-pro/mp770568/conn-banana-jack-32a-grn/dp/3581090</t>
  </si>
  <si>
    <t>APR58-UL-15A</t>
  </si>
  <si>
    <t>banana socket yellow</t>
  </si>
  <si>
    <t>https://cz.farnell.com/multicomp-pro/mp770567/conn-banana-jack-32a-yel/dp/3581089</t>
  </si>
  <si>
    <t>MP770567</t>
  </si>
  <si>
    <t>https://www.digikey.com/en/products/detail/optifuse/APR58-UL-15A/11576552</t>
  </si>
  <si>
    <t>Fuse_0805_2012Metric</t>
  </si>
  <si>
    <t>MFU0805FF00630P100</t>
  </si>
  <si>
    <t>https://cz.mouser.com/ProductDetail/Vishay-Beyschlag/MFU0805FF00630P100?qs=oI046glRurs5iQZrYsClog%3D%3D</t>
  </si>
  <si>
    <t>AZ23C5V1-7-F</t>
  </si>
  <si>
    <t>https://cz.mouser.com/ProductDetail/Diodes-Incorporated/AZ23C5V1-7-F?qs=sNt1cpZzkrpr1%2FMQUM16xA%3D%3D</t>
  </si>
  <si>
    <t>J5</t>
  </si>
  <si>
    <t>J6</t>
  </si>
  <si>
    <t>B6B-XH-AJST</t>
  </si>
  <si>
    <t>https://www.tme.eu/cz/details/b6b-xh-a/signalove-konektory-raster-2-50mm/jst/</t>
  </si>
  <si>
    <t>konektor enkoderu</t>
  </si>
  <si>
    <t>konektor displaye</t>
  </si>
  <si>
    <t>XHP-6</t>
  </si>
  <si>
    <t>https://www.tme.eu/cz/details/xhp-6/signalove-konektory-raster-2-50mm/jst/</t>
  </si>
  <si>
    <t>https://www.tme.eu/cz/details/rt0805brd0710k/rezistory-smd/yageo/rt0805brd0710kl/</t>
  </si>
  <si>
    <t>Quantity for 4 PCBs</t>
  </si>
  <si>
    <t>krimpúovaci kontakty pro XHP konektory</t>
  </si>
  <si>
    <t>SXH-001T-P0.6JST</t>
  </si>
  <si>
    <t>https://www.tme.eu/cz/details/sxh-001t-p0.6/signalove-konektory-raster-2-50mm/jst/</t>
  </si>
  <si>
    <t>celkova cena za 4 desky</t>
  </si>
  <si>
    <t>celkova cena za 1 desku</t>
  </si>
  <si>
    <t>https://cz.mouser.com/ProductDetail/YAGEO/AC0603FR-070RL?qs=UoPT7wUmgYIHE8YhvUntLg%3D%3D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</si>
</sst>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 applyNumberFormat="1"/>
    <xf numFmtId="0" fontId="18" fillId="0" borderId="0" xfId="42"/>
    <xf numFmtId="0" fontId="0" fillId="33" borderId="0" xfId="0" applyFill="1"/>
    <xf numFmtId="0" fontId="18" fillId="33" borderId="0" xfId="42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7CE989-DDDF-445B-A2F2-1A86FAA1405F}" autoFormatId="16" applyNumberFormats="0" applyBorderFormats="0" applyFontFormats="0" applyPatternFormats="0" applyAlignmentFormats="0" applyWidthHeightFormats="0">
  <queryTableRefresh nextId="14" unboundColumnsRight="3">
    <queryTableFields count="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13" dataBound="0" tableColumnId="6"/>
      <queryTableField id="5" name="Designation" tableColumnId="5"/>
      <queryTableField id="9" dataBound="0" tableColumnId="9"/>
      <queryTableField id="12" dataBound="0" tableColumnId="12"/>
      <queryTableField id="10" dataBound="0" tableColumnId="10"/>
    </queryTableFields>
    <queryTableDeletedFields count="3">
      <deletedField name="Supplier and ref"/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E250D-41CC-495C-B92E-E8F71AC3466E}" name="AETS_CZ_NB_3L0Y7S3" displayName="AETS_CZ_NB_3L0Y7S3" ref="A1:I74" tableType="queryTable" totalsRowShown="0">
  <autoFilter ref="A1:I74" xr:uid="{6E0E250D-41CC-495C-B92E-E8F71AC3466E}">
    <filterColumn colId="8">
      <filters>
        <filter val="https://cz.mouser.com/ProductDetail/Allegro-MicroSystems/ACS724LLCTR-2P5AB-T?qs=11PymoJGorKO3bW4uIzV2A%3D%3D"/>
        <filter val="https://cz.mouser.com/ProductDetail/American-Bright-LED/APC-817A1-SL?qs=Y0Uzf4wQF3mmDsgauL3zUw%3D%3D"/>
        <filter val="https://cz.mouser.com/ProductDetail/Amphenol-Commercial-Products/G17C0910132EU?qs=1VVaZAL47g1wqtt9KNnEiQ%3D%3D"/>
        <filter val="https://cz.mouser.com/ProductDetail/Bourns/CR0805-FX-60R4ELF?qs=sGAEpiMZZMtlubZbdhIBIL%252BKkaYz7rs3f6V7yF55Z1E%3D"/>
        <filter val="https://cz.mouser.com/ProductDetail/Bourns/PEC11H-4215F-S0024?qs=7MVldsJ5UazXQyTbCLch8g%3D%3D"/>
        <filter val="https://cz.mouser.com/ProductDetail/Diodes-Incorporated/AZ23C5V1-7-F?qs=sNt1cpZzkrpr1%2FMQUM16xA%3D%3D"/>
        <filter val="https://cz.mouser.com/ProductDetail/Diodes-Incorporated/DMN61D8LQ-7?qs=DBvH5xl4Uyka0o7WXOAQ%2FA%3D%3D"/>
        <filter val="https://cz.mouser.com/ProductDetail/Diodes-Incorporated/DMP3098LQ-7?qs=HXFqYaX1Q2ynasjBVyITSA%3D%3D"/>
        <filter val="https://cz.mouser.com/ProductDetail/Diotec-Semiconductor/BAT54S?qs=OlC7AqGiEDl5%2FwzZD7rGmQ%3D%3D"/>
        <filter val="https://cz.mouser.com/ProductDetail/Diotec-Semiconductor/MMBT3904?qs=OlC7AqGiEDkK1MwiyUU6mg%3D%3D"/>
        <filter val="https://cz.mouser.com/ProductDetail/ECS/ECS-400-18-33-JGN-TR3?qs=e8oIoAS2J1SLxEG9aPzeug%3D%3D"/>
        <filter val="https://cz.mouser.com/ProductDetail/GCT/USB4105-GF-A?qs=KUoIvG%2F9IlY%2FMLlBMpStpA%3D%3D"/>
        <filter val="https://cz.mouser.com/ProductDetail/KEMET/C0603C100J5RACTU?qs=y%252BHbsf6ovcfaLkEt1SR70Q%3D%3D"/>
        <filter val="https://cz.mouser.com/ProductDetail/KEMET/C0805C470J5RACTU?qs=gt1LBUVyoHlbpLRjfP%252BJ1A%3D%3D"/>
        <filter val="https://cz.mouser.com/ProductDetail/KYOCERA-AVX/08055C103JAT4A?qs=sGAEpiMZZMvsSlwiRhF8qsUJX4ZZq7O1nFGxtzA9E4U%3D"/>
        <filter val="https://cz.mouser.com/ProductDetail/KYOCERA-AVX/08055C472JAT2A?qs=sGAEpiMZZMvsSlwiRhF8qtBfdvAGmZnkMzvk2GPRVs0%3D"/>
        <filter val="https://cz.mouser.com/ProductDetail/KYOCERA-AVX/08055C474KAZ4A?qs=sGAEpiMZZMvsSlwiRhF8qrStdQmkkjBltYaUnkrsI0s05VEip6zo%2FQ%3D%3D"/>
        <filter val="https://cz.mouser.com/ProductDetail/KYOCERA-AVX/KAF21BR71H104JM?qs=sGAEpiMZZMvsSlwiRhF8qrQG6leidpLjTjPQazu%252BEce8bmvAw4TAbA%3D%3D"/>
        <filter val="https://cz.mouser.com/ProductDetail/KYOCERA-AVX/KGM15BR71H104JT?qs=sGAEpiMZZMvsSlwiRhF8qrQG6leidpLj9XamEe3EIvrdHgR474JYHA%3D%3D"/>
        <filter val="https://cz.mouser.com/ProductDetail/KYOCERA-AVX/KGM32HR73D471KU?qs=sGAEpiMZZMvsSlwiRhF8qrQG6leidpLj3CDtSGZn%2F8t8PkTmQ9lNRg%3D%3D"/>
        <filter val="https://cz.mouser.com/ProductDetail/Littelfuse/178.6165.0002?qs=gu7KAQ731UT%2FkKyRBF134A%3D%3D"/>
        <filter val="https://cz.mouser.com/ProductDetail/Microchip-Technology/MCP2542WFD-E-SN?qs=qdgZG5p0FZ7OaaJ5dRIIPw%3D%3D"/>
        <filter val="https://cz.mouser.com/ProductDetail/Micro-Commercial-Components-MCC/SMAF4740A-TP?qs=%252BXxaIXUDbq1MJ0KKLTNFXg%3D%3D&amp;srsltid=AfmBOoqYeTTosdeYwsc0wm35OxT0_HliXKKNrIN4yjSJfA9mQquiVBTr"/>
        <filter val="https://cz.mouser.com/ProductDetail/Murata-Electronics/BLM21SP601SH1D?qs=17u8i%2FzlE89O6NnGGVLYAA%3D%3D"/>
        <filter val="https://cz.mouser.com/ProductDetail/Nexperia/74LVC1G3157GW125?qs=me8TqzrmIYXTNjH5%2FiBeXQ%3D%3D"/>
        <filter val="https://cz.mouser.com/ProductDetail/onsemi/MBR230LSFT1G?qs=Jh7l0IbPjid1ZBeNXVj%2FnA%3D%3D"/>
        <filter val="https://cz.mouser.com/ProductDetail/Panasonic/EEE-FP1C680AL?qs=vmHwEFxEFR%252B62ky9jeZXug%3D%3D"/>
        <filter val="https://cz.mouser.com/ProductDetail/Phoenix-Contact/2961309?qs=xrHRiZ6CCZBt32l4wiEMxw%3D%3D"/>
        <filter val="https://cz.mouser.com/ProductDetail/SEI-Stackpole/RNCP0603FTD10K0?qs=sGAEpiMZZMtlubZbdhIBIA%252B43obPAL0tSi5uZreeU8A%3D"/>
        <filter val="https://cz.mouser.com/ProductDetail/SEI-Stackpole/RNCP0603FTD1K50?qs=sGAEpiMZZMtlubZbdhIBIA%252B43obPAL0tN%2F1tl%252BBcIvA%3D"/>
        <filter val="https://cz.mouser.com/ProductDetail/STMicroelectronics/LD29080DT50R?qs=22WmWNTp1rrXQIBxhkME0A%3D%3D"/>
        <filter val="https://cz.mouser.com/ProductDetail/STMicroelectronics/M24512-DRMN8TP-K?qs=bzW4KIwE9U2JH6dTS5bAyA%3D%3D"/>
        <filter val="https://cz.mouser.com/ProductDetail/STMicroelectronics/STM32G474RET6?qs=PzGy0jfpSMvUBs7PMTDqlg%3D%3D"/>
        <filter val="https://cz.mouser.com/ProductDetail/Taiwan-Semiconductor/TESDU5V0-RGG?qs=QEzMiVqgwc1ZDipmgySSHQ%3D%3D"/>
        <filter val="https://cz.mouser.com/ProductDetail/TDK/AVR-M1608C270KTACB?qs=f0gCvUGw%252BIz%252B9wxpKEKvbg%3D%3D"/>
        <filter val="https://cz.mouser.com/ProductDetail/TDK/PS1240P02BT?qs=d7g9p1yFhWaZXSY9MjKMkw%3D%3D"/>
        <filter val="https://cz.mouser.com/ProductDetail/TE-Connectivity-Holsworthy/CRG0805F2K2?qs=DfH2yQaBz6tTfarX6CbcPg%3D%3D"/>
        <filter val="https://cz.mouser.com/ProductDetail/Texas-Instruments/TPD2S017DBVR?qs=OaSNdy%2FNfznGQ7ML7Wt%252BOg%3D%3D"/>
        <filter val="https://cz.mouser.com/ProductDetail/Texas-Instruments/TPS7B6933DBVR?qs=zEmsApcVOkXMdnHMfXdU7Q%3D%3D"/>
        <filter val="https://cz.mouser.com/ProductDetail/Vishay/1.5B18CA-M3-H?qs=7%2F6SraaimPSHmMmVYKcERQ%3D%3D"/>
        <filter val="https://cz.mouser.com/ProductDetail/Vishay/CRCW0805100KFKEA?qs=sGAEpiMZZMtlubZbdhIBIKpw3Cj3Rl3MgRjH3xt31Ys%3D"/>
        <filter val="https://cz.mouser.com/ProductDetail/Vishay/CRCW0805499RFKEA?qs=sGAEpiMZZMtlubZbdhIBIGv9EycWg%2Fv4acwv0nRDooo%3D"/>
        <filter val="https://cz.mouser.com/ProductDetail/Vishay/CRCW08055K10FKEAC?qs=sGAEpiMZZMtlubZbdhIBIIZe04wfiaJW8ZW3sZJ2u8w%3D"/>
        <filter val="https://cz.mouser.com/ProductDetail/Vishay-Beyschlag/MFU0805FF00630P100?qs=oI046glRurs5iQZrYsClog%3D%3D"/>
        <filter val="https://cz.mouser.com/ProductDetail/Vishay-Dale/RCC06031M00FKEA?qs=GedFDFLaBXHlMNeJInwoZg%3D%3D"/>
        <filter val="https://cz.mouser.com/ProductDetail/Vishay-Semiconductors/SI7489DP-T1-GE3?qs=IRuQNBqMOclOgVkisGeeHg%3D%3D"/>
        <filter val="https://cz.mouser.com/ProductDetail/Vishay-Semiconductors/VS-10BQ015HM3-5BT?qs=p1ya7m3AA0AlGZ3N6%2FCsfw%3D%3D"/>
        <filter val="https://cz.mouser.com/ProductDetail/Vitelec-Cinch-Connectivity-Solutions/VBI211?qs=HAjLtCtd%252BdbuFYdlw62UuQ%3D%3D"/>
        <filter val="https://cz.mouser.com/ProductDetail/XP-Power/IA1205S?qs=w%2Fv1CP2dgqo47WPNN%2FUazA%3D%3D"/>
        <filter val="https://cz.mouser.com/ProductDetail/YAGEO/AC0603FR-070RL?qs=UoPT7wUmgYIHE8YhvUntLg%3D%3D"/>
        <filter val="https://cz.mouser.com/ProductDetail/YAGEO/AC0805FR-1310RL?qs=sGAEpiMZZMtlubZbdhIBIBy2RBRXlGLA9cErGDzjx%252B4%3D"/>
        <filter val="https://cz.mouser.com/ProductDetail/YAGEO/RT0805FRE13100RL?qs=sGAEpiMZZMtlubZbdhIBIMaxnMKvEBNdDiJqTcimWwo%3D"/>
      </filters>
    </filterColumn>
  </autoFilter>
  <sortState xmlns:xlrd2="http://schemas.microsoft.com/office/spreadsheetml/2017/richdata2" ref="A2:I74">
    <sortCondition ref="B1:B74"/>
  </sortState>
  <tableColumns count="9">
    <tableColumn id="1" xr3:uid="{846C2467-189D-40D4-80D3-4F94A6D09CA5}" uniqueName="1" name="Id" queryTableFieldId="1"/>
    <tableColumn id="2" xr3:uid="{14BE442A-DB7F-4A82-813D-0FC3D4A1D44B}" uniqueName="2" name="Designator" queryTableFieldId="2" dataDxfId="6"/>
    <tableColumn id="3" xr3:uid="{EDF980DA-A419-4685-95B0-088971EB3637}" uniqueName="3" name="Footprint" queryTableFieldId="3" dataDxfId="5"/>
    <tableColumn id="4" xr3:uid="{D24BB36B-C78C-4D90-8C6F-C1DF3CED47B3}" uniqueName="4" name="Quantity" queryTableFieldId="4"/>
    <tableColumn id="6" xr3:uid="{02C8601D-0F29-4588-9489-6EB2B04E852F}" uniqueName="6" name="Quantity for 4 PCBs" queryTableFieldId="13" dataDxfId="4">
      <calculatedColumnFormula>AETS_CZ_NB_3L0Y7S3[[#This Row],[Quantity]]*3</calculatedColumnFormula>
    </tableColumn>
    <tableColumn id="5" xr3:uid="{9C77B0AC-E466-46D0-A406-709B16AA915D}" uniqueName="5" name="Designation" queryTableFieldId="5" dataDxfId="3"/>
    <tableColumn id="9" xr3:uid="{522BFA3E-DDE1-4E8F-BE94-596B065932EA}" uniqueName="9" name="price per pcs" queryTableFieldId="9" dataDxfId="2"/>
    <tableColumn id="12" xr3:uid="{E0869056-3B9E-42F8-B281-CCC75D3FDE57}" uniqueName="12" name="total price" queryTableFieldId="12" dataDxfId="1">
      <calculatedColumnFormula>AETS_CZ_NB_3L0Y7S3[[#This Row],[Quantity for 4 PCBs]]*AETS_CZ_NB_3L0Y7S3[[#This Row],[price per pcs]]</calculatedColumnFormula>
    </tableColumn>
    <tableColumn id="10" xr3:uid="{5CDCE25E-7446-421E-A044-C11083AE5696}" uniqueName="10" name="link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" TargetMode="External"/><Relationship Id="rId21" Type="http://schemas.openxmlformats.org/officeDocument/2006/relationships/hyperlink" Target="https://cz.mouser.com/ProductDetail/STMicroelectronics/LD29080DT50R?qs=22WmWNTp1rrXQIBxhkME0A%3D%3D" TargetMode="External"/><Relationship Id="rId42" Type="http://schemas.openxmlformats.org/officeDocument/2006/relationships/hyperlink" Target="https://cz.mouser.com/ProductDetail/ECS/ECS-400-18-33-JGN-TR3?qs=e8oIoAS2J1SLxEG9aPzeug%3D%3D" TargetMode="External"/><Relationship Id="rId47" Type="http://schemas.openxmlformats.org/officeDocument/2006/relationships/hyperlink" Target="https://cz.mouser.com/ProductDetail/SEI-Stackpole/RNCP0603FTD10K0?qs=sGAEpiMZZMtlubZbdhIBIA%252B43obPAL0tSi5uZreeU8A%3D" TargetMode="External"/><Relationship Id="rId63" Type="http://schemas.openxmlformats.org/officeDocument/2006/relationships/hyperlink" Target="https://cz.farnell.com/multicomp-pro/mp770568/conn-banana-jack-32a-grn/dp/3581090" TargetMode="External"/><Relationship Id="rId68" Type="http://schemas.openxmlformats.org/officeDocument/2006/relationships/hyperlink" Target="https://www.tme.eu/cz/details/sxh-001t-p0.6/signalove-konektory-raster-2-50mm/jst/" TargetMode="External"/><Relationship Id="rId7" Type="http://schemas.openxmlformats.org/officeDocument/2006/relationships/hyperlink" Target="https://cz.mouser.com/ProductDetail/KYOCERA-AVX/08055C472JAT2A?qs=sGAEpiMZZMvsSlwiRhF8qtBfdvAGmZnkMzvk2GPRVs0%3D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cz.mouser.com/ProductDetail/KEMET/C0603C100J5RACTU?qs=y%252BHbsf6ovcfaLkEt1SR70Q%3D%3D" TargetMode="External"/><Relationship Id="rId16" Type="http://schemas.openxmlformats.org/officeDocument/2006/relationships/hyperlink" Target="https://cz.mouser.com/ProductDetail/Taiwan-Semiconductor/TESDU5V0-RGG?qs=QEzMiVqgwc1ZDipmgySSHQ%3D%3D" TargetMode="External"/><Relationship Id="rId29" Type="http://schemas.openxmlformats.org/officeDocument/2006/relationships/hyperlink" Target="https://www.tme.eu/cz/details/xhp-5/signalove-konektory-raster-2-50mm/jst/" TargetMode="External"/><Relationship Id="rId11" Type="http://schemas.openxmlformats.org/officeDocument/2006/relationships/hyperlink" Target="https://cz.mouser.com/ProductDetail/Vishay-Semiconductors/VS-10BQ015HM3-5BT?qs=p1ya7m3AA0AlGZ3N6%2FCsfw%3D%3D" TargetMode="External"/><Relationship Id="rId24" Type="http://schemas.openxmlformats.org/officeDocument/2006/relationships/hyperlink" Target="https://cz.mouser.com/ProductDetail/Nexperia/74LVC1G3157GW125?qs=me8TqzrmIYXTNjH5%2FiBeXQ%3D%3D" TargetMode="External"/><Relationship Id="rId32" Type="http://schemas.openxmlformats.org/officeDocument/2006/relationships/hyperlink" Target="https://cz.mouser.com/ProductDetail/Phoenix-Contact/2961309?qs=xrHRiZ6CCZBt32l4wiEMxw%3D%3D" TargetMode="External"/><Relationship Id="rId37" Type="http://schemas.openxmlformats.org/officeDocument/2006/relationships/hyperlink" Target="https://cz.mouser.com/ProductDetail/Diotec-Semiconductor/MMBT3904?qs=OlC7AqGiEDkK1MwiyUU6mg%3D%3D" TargetMode="External"/><Relationship Id="rId40" Type="http://schemas.openxmlformats.org/officeDocument/2006/relationships/hyperlink" Target="https://cz.mouser.com/ProductDetail/Diodes-Incorporated/DMP3098LQ-7?qs=HXFqYaX1Q2ynasjBVyITSA%3D%3D" TargetMode="External"/><Relationship Id="rId45" Type="http://schemas.openxmlformats.org/officeDocument/2006/relationships/hyperlink" Target="https://cz.mouser.com/ProductDetail/Littelfuse/178.6165.0002?qs=gu7KAQ731UT%2FkKyRBF134A%3D%3D" TargetMode="External"/><Relationship Id="rId53" Type="http://schemas.openxmlformats.org/officeDocument/2006/relationships/hyperlink" Target="https://cz.mouser.com/ProductDetail/Vishay/CRCW0805499RFKEA?qs=sGAEpiMZZMtlubZbdhIBIGv9EycWg%2Fv4acwv0nRDooo%3D" TargetMode="External"/><Relationship Id="rId58" Type="http://schemas.openxmlformats.org/officeDocument/2006/relationships/hyperlink" Target="https://cz.mouser.com/ProductDetail/Micro-Commercial-Components-MCC/SMAF4740A-TP?qs=%252BXxaIXUDbq1MJ0KKLTNFXg%3D%3D&amp;srsltid=AfmBOoqYeTTosdeYwsc0wm35OxT0_HliXKKNrIN4yjSJfA9mQquiVBTr" TargetMode="External"/><Relationship Id="rId66" Type="http://schemas.openxmlformats.org/officeDocument/2006/relationships/hyperlink" Target="https://www.tme.eu/cz/details/xhp-6/signalove-konektory-raster-2-50mm/jst/" TargetMode="External"/><Relationship Id="rId5" Type="http://schemas.openxmlformats.org/officeDocument/2006/relationships/hyperlink" Target="https://cz.mouser.com/ProductDetail/KYOCERA-AVX/KGM15BR71H104JT?qs=sGAEpiMZZMvsSlwiRhF8qrQG6leidpLj9XamEe3EIvrdHgR474JYHA%3D%3D" TargetMode="External"/><Relationship Id="rId61" Type="http://schemas.openxmlformats.org/officeDocument/2006/relationships/hyperlink" Target="https://www.tme.eu/cz/details/hm-1455t1602/krabicky-z-panelem/hammond/1455t1602/" TargetMode="External"/><Relationship Id="rId19" Type="http://schemas.openxmlformats.org/officeDocument/2006/relationships/hyperlink" Target="https://cz.mouser.com/ProductDetail/Microchip-Technology/MCP2542WFD-E-SN?qs=qdgZG5p0FZ7OaaJ5dRIIPw%3D%3D" TargetMode="External"/><Relationship Id="rId14" Type="http://schemas.openxmlformats.org/officeDocument/2006/relationships/hyperlink" Target="https://cz.mouser.com/ProductDetail/Diotec-Semiconductor/BAT54S?qs=OlC7AqGiEDl5%2FwzZD7rGmQ%3D%3D" TargetMode="External"/><Relationship Id="rId22" Type="http://schemas.openxmlformats.org/officeDocument/2006/relationships/hyperlink" Target="https://cz.mouser.com/ProductDetail/STMicroelectronics/STM32G474RET6?qs=PzGy0jfpSMvUBs7PMTDqlg%3D%3D" TargetMode="External"/><Relationship Id="rId27" Type="http://schemas.openxmlformats.org/officeDocument/2006/relationships/hyperlink" Target="https://cz.mouser.com/ProductDetail/Vitelec-Cinch-Connectivity-Solutions/VBI211?qs=HAjLtCtd%252BdbuFYdlw62UuQ%3D%3D" TargetMode="External"/><Relationship Id="rId30" Type="http://schemas.openxmlformats.org/officeDocument/2006/relationships/hyperlink" Target="https://cz.mouser.com/ProductDetail/Amphenol-Commercial-Products/G17C0910132EU?qs=1VVaZAL47g1wqtt9KNnEiQ%3D%3D" TargetMode="External"/><Relationship Id="rId35" Type="http://schemas.openxmlformats.org/officeDocument/2006/relationships/hyperlink" Target="https://cz.mouser.com/ProductDetail/TDK/PS1240P02BT?qs=d7g9p1yFhWaZXSY9MjKMkw%3D%3D" TargetMode="External"/><Relationship Id="rId43" Type="http://schemas.openxmlformats.org/officeDocument/2006/relationships/hyperlink" Target="https://cz.mouser.com/ProductDetail/Diodes-Incorporated/AZ23C5V1-7-F?qs=sNt1cpZzkrpr1%2FMQUM16xA%3D%3D" TargetMode="External"/><Relationship Id="rId48" Type="http://schemas.openxmlformats.org/officeDocument/2006/relationships/hyperlink" Target="https://www.tme.eu/cz/details/rt0805brd0710k/rezistory-smd/yageo/rt0805brd0710kl/" TargetMode="External"/><Relationship Id="rId56" Type="http://schemas.openxmlformats.org/officeDocument/2006/relationships/hyperlink" Target="https://cz.mouser.com/ProductDetail/TE-Connectivity-Holsworthy/CRG0805F2K2?qs=DfH2yQaBz6tTfarX6CbcPg%3D%3D" TargetMode="External"/><Relationship Id="rId64" Type="http://schemas.openxmlformats.org/officeDocument/2006/relationships/hyperlink" Target="https://cz.farnell.com/multicomp-pro/mp770567/conn-banana-jack-32a-yel/dp/3581089" TargetMode="External"/><Relationship Id="rId69" Type="http://schemas.openxmlformats.org/officeDocument/2006/relationships/hyperlink" Target="https://cz.mouser.com/ProductDetail/YAGEO/AC0603FR-070RL?qs=UoPT7wUmgYIHE8YhvUntLg%3D%3D" TargetMode="External"/><Relationship Id="rId8" Type="http://schemas.openxmlformats.org/officeDocument/2006/relationships/hyperlink" Target="https://cz.mouser.com/ProductDetail/Panasonic/EEE-FP1C680AL?qs=vmHwEFxEFR%252B62ky9jeZXug%3D%3D" TargetMode="External"/><Relationship Id="rId51" Type="http://schemas.openxmlformats.org/officeDocument/2006/relationships/hyperlink" Target="https://cz.mouser.com/ProductDetail/YAGEO/AC0805FR-1310RL?qs=sGAEpiMZZMtlubZbdhIBIBy2RBRXlGLA9cErGDzjx%252B4%3D" TargetMode="External"/><Relationship Id="rId3" Type="http://schemas.openxmlformats.org/officeDocument/2006/relationships/hyperlink" Target="https://cz.mouser.com/ProductDetail/KYOCERA-AVX/08055C103JAT4A?qs=sGAEpiMZZMvsSlwiRhF8qsUJX4ZZq7O1nFGxtzA9E4U%3D" TargetMode="External"/><Relationship Id="rId12" Type="http://schemas.openxmlformats.org/officeDocument/2006/relationships/hyperlink" Target="https://cz.mouser.com/ProductDetail/onsemi/MBR230LSFT1G?qs=Jh7l0IbPjid1ZBeNXVj%2FnA%3D%3D" TargetMode="External"/><Relationship Id="rId17" Type="http://schemas.openxmlformats.org/officeDocument/2006/relationships/hyperlink" Target="https://cz.mouser.com/ProductDetail/Vishay-Beyschlag/MFU0805FF00630P100?qs=oI046glRurs5iQZrYsClog%3D%3D" TargetMode="External"/><Relationship Id="rId25" Type="http://schemas.openxmlformats.org/officeDocument/2006/relationships/hyperlink" Target="https://www.tme.eu/cz/details/clw-1812-w2e-er-wh/zasuvkove-napajeci-zdroje/cellevia-power/" TargetMode="External"/><Relationship Id="rId33" Type="http://schemas.openxmlformats.org/officeDocument/2006/relationships/hyperlink" Target="https://www.tme.eu/cz/details/095.51/elektromagneticka-rele-prislusenstvi/finder/" TargetMode="External"/><Relationship Id="rId38" Type="http://schemas.openxmlformats.org/officeDocument/2006/relationships/hyperlink" Target="https://cz.mouser.com/ProductDetail/Vishay-Semiconductors/SI7489DP-T1-GE3?qs=IRuQNBqMOclOgVkisGeeHg%3D%3D" TargetMode="External"/><Relationship Id="rId46" Type="http://schemas.openxmlformats.org/officeDocument/2006/relationships/hyperlink" Target="https://cz.mouser.com/ProductDetail/Allegro-MicroSystems/ACS724LLCTR-2P5AB-T?qs=11PymoJGorKO3bW4uIzV2A%3D%3D" TargetMode="External"/><Relationship Id="rId59" Type="http://schemas.openxmlformats.org/officeDocument/2006/relationships/hyperlink" Target="https://www.tme.eu/cz/details/nhd-0420cw-aw3/alfanumericke-oled-displeje/newhaven-display-international/" TargetMode="External"/><Relationship Id="rId67" Type="http://schemas.openxmlformats.org/officeDocument/2006/relationships/hyperlink" Target="https://www.digikey.com/en/products/detail/optifuse/APR58-UL-15A/11576552" TargetMode="External"/><Relationship Id="rId20" Type="http://schemas.openxmlformats.org/officeDocument/2006/relationships/hyperlink" Target="https://cz.mouser.com/ProductDetail/STMicroelectronics/M24512-DRMN8TP-K?qs=bzW4KIwE9U2JH6dTS5bAyA%3D%3D" TargetMode="External"/><Relationship Id="rId41" Type="http://schemas.openxmlformats.org/officeDocument/2006/relationships/hyperlink" Target="https://cz.mouser.com/ProductDetail/American-Bright-LED/APC-817A1-SL?qs=Y0Uzf4wQF3mmDsgauL3zUw%3D%3D" TargetMode="External"/><Relationship Id="rId54" Type="http://schemas.openxmlformats.org/officeDocument/2006/relationships/hyperlink" Target="https://cz.mouser.com/ProductDetail/YAGEO/RT0805FRE13100RL?qs=sGAEpiMZZMtlubZbdhIBIMaxnMKvEBNdDiJqTcimWwo%3D" TargetMode="External"/><Relationship Id="rId62" Type="http://schemas.openxmlformats.org/officeDocument/2006/relationships/hyperlink" Target="https://cz.farnell.com/multicomp-pro/mp770569/conn-banana-jack-32a-blu/dp/3581091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cz.mouser.com/ProductDetail/KYOCERA-AVX/08055C472JAT2A?qs=sGAEpiMZZMvsSlwiRhF8qtBfdvAGmZnkMzvk2GPRVs0%3D" TargetMode="External"/><Relationship Id="rId6" Type="http://schemas.openxmlformats.org/officeDocument/2006/relationships/hyperlink" Target="https://cz.mouser.com/ProductDetail/KYOCERA-AVX/KAF21BR71H104JM?qs=sGAEpiMZZMvsSlwiRhF8qrQG6leidpLjTjPQazu%252BEce8bmvAw4TAbA%3D%3D" TargetMode="External"/><Relationship Id="rId15" Type="http://schemas.openxmlformats.org/officeDocument/2006/relationships/hyperlink" Target="https://cz.mouser.com/ProductDetail/Vishay/1.5B18CA-M3-H?qs=7%2F6SraaimPSHmMmVYKcERQ%3D%3D" TargetMode="External"/><Relationship Id="rId23" Type="http://schemas.openxmlformats.org/officeDocument/2006/relationships/hyperlink" Target="https://cz.mouser.com/ProductDetail/Texas-Instruments/TPS7B6933DBVR?qs=zEmsApcVOkXMdnHMfXdU7Q%3D%3D" TargetMode="External"/><Relationship Id="rId28" Type="http://schemas.openxmlformats.org/officeDocument/2006/relationships/hyperlink" Target="https://www.tme.eu/cz/details/b5b-xh-a/signalove-konektory-raster-2-50mm/jst/b5b-xh-a-lf-sn/" TargetMode="External"/><Relationship Id="rId36" Type="http://schemas.openxmlformats.org/officeDocument/2006/relationships/hyperlink" Target="https://cz.mouser.com/ProductDetail/XP-Power/IA1205S?qs=w%2Fv1CP2dgqo47WPNN%2FUazA%3D%3D" TargetMode="External"/><Relationship Id="rId49" Type="http://schemas.openxmlformats.org/officeDocument/2006/relationships/hyperlink" Target="https://cz.mouser.com/ProductDetail/Bourns/CR0805-FX-60R4ELF?qs=sGAEpiMZZMtlubZbdhIBIL%252BKkaYz7rs3f6V7yF55Z1E%3D" TargetMode="External"/><Relationship Id="rId57" Type="http://schemas.openxmlformats.org/officeDocument/2006/relationships/hyperlink" Target="https://cz.mouser.com/ProductDetail/Vishay-Dale/RCC06031M00FKEA?qs=GedFDFLaBXHlMNeJInwoZg%3D%3D" TargetMode="External"/><Relationship Id="rId10" Type="http://schemas.openxmlformats.org/officeDocument/2006/relationships/hyperlink" Target="https://cz.mouser.com/ProductDetail/KYOCERA-AVX/KGM32HR73D471KU?qs=sGAEpiMZZMvsSlwiRhF8qrQG6leidpLj3CDtSGZn%2F8t8PkTmQ9lNRg%3D%3D" TargetMode="External"/><Relationship Id="rId31" Type="http://schemas.openxmlformats.org/officeDocument/2006/relationships/hyperlink" Target="https://cz.mouser.com/ProductDetail/GCT/USB4105-GF-A?qs=KUoIvG%2F9IlY%2FMLlBMpStpA%3D%3D" TargetMode="External"/><Relationship Id="rId44" Type="http://schemas.openxmlformats.org/officeDocument/2006/relationships/hyperlink" Target="https://cz.mouser.com/ProductDetail/TDK/AVR-M1608C270KTACB?qs=f0gCvUGw%252BIz%252B9wxpKEKvbg%3D%3D" TargetMode="External"/><Relationship Id="rId52" Type="http://schemas.openxmlformats.org/officeDocument/2006/relationships/hyperlink" Target="https://cz.mouser.com/ProductDetail/SEI-Stackpole/RNCP0603FTD1K50?qs=sGAEpiMZZMtlubZbdhIBIA%252B43obPAL0tN%2F1tl%252BBcIvA%3D" TargetMode="External"/><Relationship Id="rId60" Type="http://schemas.openxmlformats.org/officeDocument/2006/relationships/hyperlink" Target="https://cz.mouser.com/ProductDetail/Bourns/PEC11H-4215F-S0024?qs=7MVldsJ5UazXQyTbCLch8g%3D%3D" TargetMode="External"/><Relationship Id="rId65" Type="http://schemas.openxmlformats.org/officeDocument/2006/relationships/hyperlink" Target="https://www.tme.eu/cz/details/b6b-xh-a/signalove-konektory-raster-2-50mm/jst/" TargetMode="External"/><Relationship Id="rId4" Type="http://schemas.openxmlformats.org/officeDocument/2006/relationships/hyperlink" Target="https://cz.mouser.com/ProductDetail/KEMET/C0805C470J5RACTU?qs=gt1LBUVyoHlbpLRjfP%252BJ1A%3D%3D" TargetMode="External"/><Relationship Id="rId9" Type="http://schemas.openxmlformats.org/officeDocument/2006/relationships/hyperlink" Target="https://cz.mouser.com/ProductDetail/KYOCERA-AVX/08055C474KAZ4A?qs=sGAEpiMZZMvsSlwiRhF8qrStdQmkkjBltYaUnkrsI0s05VEip6zo%2FQ%3D%3D" TargetMode="External"/><Relationship Id="rId13" Type="http://schemas.openxmlformats.org/officeDocument/2006/relationships/hyperlink" Target="https://cz.mouser.com/ProductDetail/Texas-Instruments/TPD2S017DBVR?qs=OaSNdy%2FNfznGQ7ML7Wt%252BOg%3D%3D" TargetMode="External"/><Relationship Id="rId18" Type="http://schemas.openxmlformats.org/officeDocument/2006/relationships/hyperlink" Target="https://cz.mouser.com/ProductDetail/Murata-Electronics/BLM21SP601SH1D?qs=17u8i%2FzlE89O6NnGGVLYAA%3D%3D" TargetMode="External"/><Relationship Id="rId39" Type="http://schemas.openxmlformats.org/officeDocument/2006/relationships/hyperlink" Target="https://cz.mouser.com/ProductDetail/Diodes-Incorporated/DMN61D8LQ-7?qs=DBvH5xl4Uyka0o7WXOAQ%2FA%3D%3D" TargetMode="External"/><Relationship Id="rId34" Type="http://schemas.openxmlformats.org/officeDocument/2006/relationships/hyperlink" Target="https://www.tme.eu/cz/details/95.15.2sma/elektromagneticka-rele-prislusenstvi/finder/" TargetMode="External"/><Relationship Id="rId50" Type="http://schemas.openxmlformats.org/officeDocument/2006/relationships/hyperlink" Target="https://cz.mouser.com/ProductDetail/Vishay/CRCW08055K10FKEAC?qs=sGAEpiMZZMtlubZbdhIBIIZe04wfiaJW8ZW3sZJ2u8w%3D" TargetMode="External"/><Relationship Id="rId55" Type="http://schemas.openxmlformats.org/officeDocument/2006/relationships/hyperlink" Target="https://cz.mouser.com/ProductDetail/Vishay/CRCW0805100KFKEA?qs=sGAEpiMZZMtlubZbdhIBIKpw3Cj3Rl3MgRjH3xt31Ys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3776-D977-47C6-A90F-8DE270A6EC22}">
  <dimension ref="A1:I77"/>
  <sheetViews>
    <sheetView tabSelected="1" topLeftCell="B1" zoomScale="85" zoomScaleNormal="85" workbookViewId="0">
      <selection activeCell="I66" sqref="I66"/>
    </sheetView>
  </sheetViews>
  <sheetFormatPr defaultRowHeight="15" x14ac:dyDescent="0.25"/>
  <cols>
    <col min="1" max="1" width="5" bestFit="1" customWidth="1"/>
    <col min="2" max="2" width="90.42578125" customWidth="1"/>
    <col min="3" max="3" width="12.28515625" customWidth="1"/>
    <col min="4" max="4" width="11" bestFit="1" customWidth="1"/>
    <col min="5" max="5" width="9.140625" customWidth="1"/>
    <col min="6" max="6" width="24.140625" bestFit="1" customWidth="1"/>
    <col min="7" max="7" width="22.140625" bestFit="1" customWidth="1"/>
    <col min="8" max="8" width="16.140625" customWidth="1"/>
    <col min="9" max="9" width="2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252</v>
      </c>
      <c r="F1" t="s">
        <v>4</v>
      </c>
      <c r="G1" t="s">
        <v>151</v>
      </c>
      <c r="H1" t="s">
        <v>154</v>
      </c>
      <c r="I1" t="s">
        <v>152</v>
      </c>
    </row>
    <row r="2" spans="1:9" x14ac:dyDescent="0.25">
      <c r="A2">
        <v>29</v>
      </c>
      <c r="B2" s="3" t="s">
        <v>75</v>
      </c>
      <c r="C2" s="3" t="s">
        <v>76</v>
      </c>
      <c r="D2" s="3">
        <v>4</v>
      </c>
      <c r="E2" s="3">
        <f>AETS_CZ_NB_3L0Y7S3[[#This Row],[Quantity]]*3</f>
        <v>12</v>
      </c>
      <c r="F2" s="3" t="s">
        <v>77</v>
      </c>
      <c r="G2" s="3">
        <v>5.13</v>
      </c>
      <c r="H2" s="3">
        <f>AETS_CZ_NB_3L0Y7S3[[#This Row],[Quantity for 4 PCBs]]*AETS_CZ_NB_3L0Y7S3[[#This Row],[price per pcs]]</f>
        <v>61.56</v>
      </c>
      <c r="I2" s="1" t="s">
        <v>153</v>
      </c>
    </row>
    <row r="3" spans="1:9" x14ac:dyDescent="0.25">
      <c r="A3">
        <v>19</v>
      </c>
      <c r="B3" s="3" t="s">
        <v>51</v>
      </c>
      <c r="C3" s="3" t="s">
        <v>29</v>
      </c>
      <c r="D3" s="3">
        <v>2</v>
      </c>
      <c r="E3" s="3">
        <f>AETS_CZ_NB_3L0Y7S3[[#This Row],[Quantity]]*3</f>
        <v>6</v>
      </c>
      <c r="F3" s="3" t="s">
        <v>52</v>
      </c>
      <c r="G3" s="3">
        <v>5.13</v>
      </c>
      <c r="H3" s="3">
        <f>AETS_CZ_NB_3L0Y7S3[[#This Row],[Quantity for 4 PCBs]]*AETS_CZ_NB_3L0Y7S3[[#This Row],[price per pcs]]</f>
        <v>30.78</v>
      </c>
      <c r="I3" s="1" t="s">
        <v>156</v>
      </c>
    </row>
    <row r="4" spans="1:9" x14ac:dyDescent="0.25">
      <c r="A4">
        <v>10</v>
      </c>
      <c r="B4" s="3" t="s">
        <v>28</v>
      </c>
      <c r="C4" s="3" t="s">
        <v>29</v>
      </c>
      <c r="D4" s="3">
        <v>6</v>
      </c>
      <c r="E4" s="3">
        <f>AETS_CZ_NB_3L0Y7S3[[#This Row],[Quantity]]*3</f>
        <v>18</v>
      </c>
      <c r="F4" s="3" t="s">
        <v>12</v>
      </c>
      <c r="G4" s="3">
        <v>2.23</v>
      </c>
      <c r="H4" s="3">
        <f>AETS_CZ_NB_3L0Y7S3[[#This Row],[Quantity for 4 PCBs]]*AETS_CZ_NB_3L0Y7S3[[#This Row],[price per pcs]]</f>
        <v>40.14</v>
      </c>
      <c r="I4" s="1" t="s">
        <v>158</v>
      </c>
    </row>
    <row r="5" spans="1:9" x14ac:dyDescent="0.25">
      <c r="A5">
        <v>8</v>
      </c>
      <c r="B5" s="3" t="s">
        <v>22</v>
      </c>
      <c r="C5" s="3" t="s">
        <v>23</v>
      </c>
      <c r="D5" s="3">
        <v>2</v>
      </c>
      <c r="E5" s="3">
        <f>AETS_CZ_NB_3L0Y7S3[[#This Row],[Quantity]]*3</f>
        <v>6</v>
      </c>
      <c r="F5" s="3" t="s">
        <v>24</v>
      </c>
      <c r="G5" s="3">
        <v>13.17</v>
      </c>
      <c r="H5" s="3">
        <f>AETS_CZ_NB_3L0Y7S3[[#This Row],[Quantity for 4 PCBs]]*AETS_CZ_NB_3L0Y7S3[[#This Row],[price per pcs]]</f>
        <v>79.02</v>
      </c>
      <c r="I5" s="1" t="s">
        <v>160</v>
      </c>
    </row>
    <row r="6" spans="1:9" x14ac:dyDescent="0.25">
      <c r="A6">
        <v>5</v>
      </c>
      <c r="B6" s="3" t="s">
        <v>15</v>
      </c>
      <c r="C6" s="3" t="s">
        <v>6</v>
      </c>
      <c r="D6" s="3">
        <v>4</v>
      </c>
      <c r="E6" s="3">
        <f>AETS_CZ_NB_3L0Y7S3[[#This Row],[Quantity]]*3</f>
        <v>12</v>
      </c>
      <c r="F6" s="3" t="s">
        <v>16</v>
      </c>
      <c r="G6" s="3">
        <v>5.36</v>
      </c>
      <c r="H6" s="3">
        <f>AETS_CZ_NB_3L0Y7S3[[#This Row],[Quantity for 4 PCBs]]*AETS_CZ_NB_3L0Y7S3[[#This Row],[price per pcs]]</f>
        <v>64.320000000000007</v>
      </c>
      <c r="I6" s="1" t="s">
        <v>161</v>
      </c>
    </row>
    <row r="7" spans="1:9" x14ac:dyDescent="0.25">
      <c r="A7">
        <v>56</v>
      </c>
      <c r="B7" s="3" t="s">
        <v>144</v>
      </c>
      <c r="C7" s="3" t="s">
        <v>76</v>
      </c>
      <c r="D7" s="3">
        <v>2</v>
      </c>
      <c r="E7" s="3">
        <f>AETS_CZ_NB_3L0Y7S3[[#This Row],[Quantity]]*3</f>
        <v>6</v>
      </c>
      <c r="F7" s="3" t="s">
        <v>145</v>
      </c>
      <c r="G7" s="3">
        <v>22.77</v>
      </c>
      <c r="H7" s="3">
        <f>AETS_CZ_NB_3L0Y7S3[[#This Row],[Quantity for 4 PCBs]]*AETS_CZ_NB_3L0Y7S3[[#This Row],[price per pcs]]</f>
        <v>136.62</v>
      </c>
      <c r="I7" s="1" t="s">
        <v>162</v>
      </c>
    </row>
    <row r="8" spans="1:9" x14ac:dyDescent="0.25">
      <c r="A8">
        <v>25</v>
      </c>
      <c r="B8" s="3" t="s">
        <v>66</v>
      </c>
      <c r="C8" s="3" t="s">
        <v>6</v>
      </c>
      <c r="D8" s="3">
        <v>3</v>
      </c>
      <c r="E8" s="3">
        <f>AETS_CZ_NB_3L0Y7S3[[#This Row],[Quantity]]*3</f>
        <v>9</v>
      </c>
      <c r="F8" s="3" t="s">
        <v>67</v>
      </c>
      <c r="G8" s="3">
        <v>5.13</v>
      </c>
      <c r="H8" s="3">
        <f>AETS_CZ_NB_3L0Y7S3[[#This Row],[Quantity for 4 PCBs]]*AETS_CZ_NB_3L0Y7S3[[#This Row],[price per pcs]]</f>
        <v>46.17</v>
      </c>
      <c r="I8" s="1" t="s">
        <v>153</v>
      </c>
    </row>
    <row r="9" spans="1:9" x14ac:dyDescent="0.25">
      <c r="A9">
        <v>1</v>
      </c>
      <c r="B9" s="3" t="s">
        <v>5</v>
      </c>
      <c r="C9" s="3" t="s">
        <v>6</v>
      </c>
      <c r="D9" s="3">
        <v>14</v>
      </c>
      <c r="E9" s="3">
        <f>AETS_CZ_NB_3L0Y7S3[[#This Row],[Quantity]]*3</f>
        <v>42</v>
      </c>
      <c r="F9" s="3" t="s">
        <v>7</v>
      </c>
      <c r="G9" s="3">
        <v>3.57</v>
      </c>
      <c r="H9" s="3">
        <f>AETS_CZ_NB_3L0Y7S3[[#This Row],[Quantity for 4 PCBs]]*AETS_CZ_NB_3L0Y7S3[[#This Row],[price per pcs]]</f>
        <v>149.94</v>
      </c>
      <c r="I9" s="1" t="s">
        <v>155</v>
      </c>
    </row>
    <row r="10" spans="1:9" x14ac:dyDescent="0.25">
      <c r="A10">
        <v>3</v>
      </c>
      <c r="B10" s="3" t="s">
        <v>11</v>
      </c>
      <c r="C10" s="3" t="s">
        <v>6</v>
      </c>
      <c r="D10" s="3">
        <v>29</v>
      </c>
      <c r="E10" s="3">
        <f>AETS_CZ_NB_3L0Y7S3[[#This Row],[Quantity]]*3</f>
        <v>87</v>
      </c>
      <c r="F10" s="3" t="s">
        <v>12</v>
      </c>
      <c r="G10" s="3">
        <v>3.12</v>
      </c>
      <c r="H10" s="3">
        <f>AETS_CZ_NB_3L0Y7S3[[#This Row],[Quantity for 4 PCBs]]*AETS_CZ_NB_3L0Y7S3[[#This Row],[price per pcs]]</f>
        <v>271.44</v>
      </c>
      <c r="I10" s="1" t="s">
        <v>159</v>
      </c>
    </row>
    <row r="11" spans="1:9" x14ac:dyDescent="0.25">
      <c r="A11">
        <v>59</v>
      </c>
      <c r="B11" s="3" t="s">
        <v>149</v>
      </c>
      <c r="C11" s="3" t="s">
        <v>6</v>
      </c>
      <c r="D11" s="3">
        <v>2</v>
      </c>
      <c r="E11" s="3">
        <f>AETS_CZ_NB_3L0Y7S3[[#This Row],[Quantity]]*3</f>
        <v>6</v>
      </c>
      <c r="F11" s="3" t="s">
        <v>150</v>
      </c>
      <c r="G11" s="3">
        <v>5.36</v>
      </c>
      <c r="H11" s="3">
        <f>AETS_CZ_NB_3L0Y7S3[[#This Row],[Quantity for 4 PCBs]]*AETS_CZ_NB_3L0Y7S3[[#This Row],[price per pcs]]</f>
        <v>32.160000000000004</v>
      </c>
      <c r="I11" s="1" t="s">
        <v>157</v>
      </c>
    </row>
    <row r="12" spans="1:9" x14ac:dyDescent="0.25">
      <c r="A12">
        <v>27</v>
      </c>
      <c r="B12" s="3" t="s">
        <v>70</v>
      </c>
      <c r="C12" s="3" t="s">
        <v>57</v>
      </c>
      <c r="D12" s="3">
        <v>1</v>
      </c>
      <c r="E12" s="3">
        <f>AETS_CZ_NB_3L0Y7S3[[#This Row],[Quantity]]*3</f>
        <v>3</v>
      </c>
      <c r="F12" s="3" t="s">
        <v>71</v>
      </c>
      <c r="G12">
        <v>8.93</v>
      </c>
      <c r="H12">
        <f>AETS_CZ_NB_3L0Y7S3[[#This Row],[Quantity for 4 PCBs]]*AETS_CZ_NB_3L0Y7S3[[#This Row],[price per pcs]]</f>
        <v>26.79</v>
      </c>
      <c r="I12" s="1" t="s">
        <v>163</v>
      </c>
    </row>
    <row r="13" spans="1:9" x14ac:dyDescent="0.25">
      <c r="A13">
        <v>55</v>
      </c>
      <c r="B13" s="3" t="s">
        <v>141</v>
      </c>
      <c r="C13" s="3" t="s">
        <v>142</v>
      </c>
      <c r="D13" s="3">
        <v>4</v>
      </c>
      <c r="E13" s="3">
        <f>AETS_CZ_NB_3L0Y7S3[[#This Row],[Quantity]]*3</f>
        <v>12</v>
      </c>
      <c r="F13" s="3" t="s">
        <v>143</v>
      </c>
      <c r="G13" s="3">
        <v>8.26</v>
      </c>
      <c r="H13" s="3">
        <f>AETS_CZ_NB_3L0Y7S3[[#This Row],[Quantity for 4 PCBs]]*AETS_CZ_NB_3L0Y7S3[[#This Row],[price per pcs]]</f>
        <v>99.12</v>
      </c>
      <c r="I13" s="1" t="s">
        <v>164</v>
      </c>
    </row>
    <row r="14" spans="1:9" x14ac:dyDescent="0.25">
      <c r="A14">
        <v>49</v>
      </c>
      <c r="B14" s="3" t="s">
        <v>125</v>
      </c>
      <c r="C14" s="3" t="s">
        <v>126</v>
      </c>
      <c r="D14" s="3">
        <v>1</v>
      </c>
      <c r="E14" s="3">
        <f>AETS_CZ_NB_3L0Y7S3[[#This Row],[Quantity]]*3</f>
        <v>3</v>
      </c>
      <c r="F14" s="3" t="s">
        <v>127</v>
      </c>
      <c r="G14" s="3">
        <v>12.5</v>
      </c>
      <c r="H14" s="3">
        <f>AETS_CZ_NB_3L0Y7S3[[#This Row],[Quantity for 4 PCBs]]*AETS_CZ_NB_3L0Y7S3[[#This Row],[price per pcs]]</f>
        <v>37.5</v>
      </c>
      <c r="I14" s="1" t="s">
        <v>165</v>
      </c>
    </row>
    <row r="15" spans="1:9" x14ac:dyDescent="0.25">
      <c r="A15">
        <v>51</v>
      </c>
      <c r="B15" s="3" t="s">
        <v>130</v>
      </c>
      <c r="C15" s="3" t="s">
        <v>131</v>
      </c>
      <c r="D15" s="3">
        <v>1</v>
      </c>
      <c r="E15" s="3">
        <f>AETS_CZ_NB_3L0Y7S3[[#This Row],[Quantity]]*3</f>
        <v>3</v>
      </c>
      <c r="F15" s="3" t="s">
        <v>132</v>
      </c>
      <c r="G15" s="3">
        <v>2.9</v>
      </c>
      <c r="H15" s="3">
        <f>AETS_CZ_NB_3L0Y7S3[[#This Row],[Quantity for 4 PCBs]]*AETS_CZ_NB_3L0Y7S3[[#This Row],[price per pcs]]</f>
        <v>8.6999999999999993</v>
      </c>
      <c r="I15" s="1" t="s">
        <v>166</v>
      </c>
    </row>
    <row r="16" spans="1:9" x14ac:dyDescent="0.25">
      <c r="A16">
        <v>21</v>
      </c>
      <c r="B16" s="3" t="s">
        <v>56</v>
      </c>
      <c r="C16" s="3" t="s">
        <v>57</v>
      </c>
      <c r="D16" s="3">
        <v>1</v>
      </c>
      <c r="E16" s="3">
        <f>AETS_CZ_NB_3L0Y7S3[[#This Row],[Quantity]]*3</f>
        <v>3</v>
      </c>
      <c r="F16" s="3" t="s">
        <v>58</v>
      </c>
      <c r="G16">
        <v>25.79</v>
      </c>
      <c r="H16">
        <f>AETS_CZ_NB_3L0Y7S3[[#This Row],[Quantity for 4 PCBs]]*AETS_CZ_NB_3L0Y7S3[[#This Row],[price per pcs]]</f>
        <v>77.37</v>
      </c>
      <c r="I16" s="1" t="s">
        <v>167</v>
      </c>
    </row>
    <row r="17" spans="1:9" x14ac:dyDescent="0.25">
      <c r="A17">
        <v>14</v>
      </c>
      <c r="B17" s="3" t="s">
        <v>37</v>
      </c>
      <c r="C17" s="3" t="s">
        <v>38</v>
      </c>
      <c r="D17" s="3">
        <v>6</v>
      </c>
      <c r="E17" s="3">
        <f>AETS_CZ_NB_3L0Y7S3[[#This Row],[Quantity]]*3</f>
        <v>18</v>
      </c>
      <c r="F17" s="3" t="s">
        <v>39</v>
      </c>
      <c r="G17">
        <v>7.14</v>
      </c>
      <c r="H17">
        <f>AETS_CZ_NB_3L0Y7S3[[#This Row],[Quantity for 4 PCBs]]*AETS_CZ_NB_3L0Y7S3[[#This Row],[price per pcs]]</f>
        <v>128.51999999999998</v>
      </c>
      <c r="I17" s="1" t="s">
        <v>168</v>
      </c>
    </row>
    <row r="18" spans="1:9" hidden="1" x14ac:dyDescent="0.25">
      <c r="A18">
        <v>50</v>
      </c>
      <c r="B18" t="s">
        <v>128</v>
      </c>
      <c r="C18" t="s">
        <v>94</v>
      </c>
      <c r="D18">
        <v>2</v>
      </c>
      <c r="E18">
        <f>AETS_CZ_NB_3L0Y7S3[[#This Row],[Quantity]]*3</f>
        <v>6</v>
      </c>
      <c r="F18" t="s">
        <v>129</v>
      </c>
      <c r="G18">
        <v>0</v>
      </c>
      <c r="H18">
        <f>AETS_CZ_NB_3L0Y7S3[[#This Row],[Quantity for 4 PCBs]]*AETS_CZ_NB_3L0Y7S3[[#This Row],[price per pcs]]</f>
        <v>0</v>
      </c>
      <c r="I18" t="s">
        <v>215</v>
      </c>
    </row>
    <row r="19" spans="1:9" hidden="1" x14ac:dyDescent="0.25">
      <c r="A19">
        <v>36</v>
      </c>
      <c r="B19" t="s">
        <v>93</v>
      </c>
      <c r="C19" t="s">
        <v>94</v>
      </c>
      <c r="D19">
        <v>2</v>
      </c>
      <c r="E19">
        <f>AETS_CZ_NB_3L0Y7S3[[#This Row],[Quantity]]*3</f>
        <v>6</v>
      </c>
      <c r="F19" t="s">
        <v>95</v>
      </c>
      <c r="G19">
        <v>0</v>
      </c>
      <c r="H19">
        <f>AETS_CZ_NB_3L0Y7S3[[#This Row],[Quantity for 4 PCBs]]*AETS_CZ_NB_3L0Y7S3[[#This Row],[price per pcs]]</f>
        <v>0</v>
      </c>
      <c r="I19" t="s">
        <v>215</v>
      </c>
    </row>
    <row r="20" spans="1:9" x14ac:dyDescent="0.25">
      <c r="A20">
        <v>48</v>
      </c>
      <c r="B20" s="3" t="s">
        <v>122</v>
      </c>
      <c r="C20" s="3" t="s">
        <v>123</v>
      </c>
      <c r="D20" s="3">
        <v>2</v>
      </c>
      <c r="E20" s="3">
        <f>AETS_CZ_NB_3L0Y7S3[[#This Row],[Quantity]]*3</f>
        <v>6</v>
      </c>
      <c r="F20" s="3" t="s">
        <v>124</v>
      </c>
      <c r="G20" s="3">
        <v>10.27</v>
      </c>
      <c r="H20" s="3">
        <f>AETS_CZ_NB_3L0Y7S3[[#This Row],[Quantity for 4 PCBs]]*AETS_CZ_NB_3L0Y7S3[[#This Row],[price per pcs]]</f>
        <v>61.62</v>
      </c>
      <c r="I20" s="1" t="s">
        <v>216</v>
      </c>
    </row>
    <row r="21" spans="1:9" x14ac:dyDescent="0.25">
      <c r="A21">
        <v>42</v>
      </c>
      <c r="B21" s="3" t="s">
        <v>107</v>
      </c>
      <c r="C21" s="3" t="s">
        <v>108</v>
      </c>
      <c r="D21" s="3">
        <v>1</v>
      </c>
      <c r="E21" s="3">
        <f>AETS_CZ_NB_3L0Y7S3[[#This Row],[Quantity]]*3</f>
        <v>3</v>
      </c>
      <c r="F21" s="3" t="s">
        <v>239</v>
      </c>
      <c r="G21" s="3">
        <v>11.51</v>
      </c>
      <c r="H21" s="3">
        <f>AETS_CZ_NB_3L0Y7S3[[#This Row],[Quantity for 4 PCBs]]*AETS_CZ_NB_3L0Y7S3[[#This Row],[price per pcs]]</f>
        <v>34.53</v>
      </c>
      <c r="I21" s="1" t="s">
        <v>240</v>
      </c>
    </row>
    <row r="22" spans="1:9" x14ac:dyDescent="0.25">
      <c r="A22">
        <v>37</v>
      </c>
      <c r="B22" s="3" t="s">
        <v>96</v>
      </c>
      <c r="C22" s="3" t="s">
        <v>238</v>
      </c>
      <c r="D22" s="3">
        <v>1</v>
      </c>
      <c r="E22" s="3">
        <f>AETS_CZ_NB_3L0Y7S3[[#This Row],[Quantity]]*3</f>
        <v>3</v>
      </c>
      <c r="F22" s="3" t="s">
        <v>170</v>
      </c>
      <c r="G22" s="3">
        <v>7.14</v>
      </c>
      <c r="H22" s="3">
        <f>AETS_CZ_NB_3L0Y7S3[[#This Row],[Quantity for 4 PCBs]]*AETS_CZ_NB_3L0Y7S3[[#This Row],[price per pcs]]</f>
        <v>21.419999999999998</v>
      </c>
      <c r="I22" s="1" t="s">
        <v>169</v>
      </c>
    </row>
    <row r="23" spans="1:9" x14ac:dyDescent="0.25">
      <c r="A23">
        <v>53</v>
      </c>
      <c r="B23" s="3" t="s">
        <v>136</v>
      </c>
      <c r="C23" s="3" t="s">
        <v>102</v>
      </c>
      <c r="D23" s="3">
        <v>1</v>
      </c>
      <c r="E23" s="3">
        <f>AETS_CZ_NB_3L0Y7S3[[#This Row],[Quantity]]*3</f>
        <v>3</v>
      </c>
      <c r="F23" s="3" t="s">
        <v>137</v>
      </c>
      <c r="G23" s="3">
        <v>22.99</v>
      </c>
      <c r="H23" s="3">
        <f>AETS_CZ_NB_3L0Y7S3[[#This Row],[Quantity for 4 PCBs]]*AETS_CZ_NB_3L0Y7S3[[#This Row],[price per pcs]]</f>
        <v>68.97</v>
      </c>
      <c r="I23" s="1" t="s">
        <v>171</v>
      </c>
    </row>
    <row r="24" spans="1:9" x14ac:dyDescent="0.25">
      <c r="A24">
        <v>40</v>
      </c>
      <c r="B24" s="3" t="s">
        <v>101</v>
      </c>
      <c r="C24" s="3" t="s">
        <v>102</v>
      </c>
      <c r="D24" s="3">
        <v>1</v>
      </c>
      <c r="E24" s="3">
        <f>AETS_CZ_NB_3L0Y7S3[[#This Row],[Quantity]]*3</f>
        <v>3</v>
      </c>
      <c r="F24" s="3" t="s">
        <v>103</v>
      </c>
      <c r="G24">
        <v>17.63</v>
      </c>
      <c r="H24">
        <f>AETS_CZ_NB_3L0Y7S3[[#This Row],[Quantity for 4 PCBs]]*AETS_CZ_NB_3L0Y7S3[[#This Row],[price per pcs]]</f>
        <v>52.89</v>
      </c>
      <c r="I24" s="1" t="s">
        <v>172</v>
      </c>
    </row>
    <row r="25" spans="1:9" x14ac:dyDescent="0.25">
      <c r="A25">
        <v>45</v>
      </c>
      <c r="B25" s="3" t="s">
        <v>114</v>
      </c>
      <c r="C25" s="3" t="s">
        <v>115</v>
      </c>
      <c r="D25" s="3">
        <v>1</v>
      </c>
      <c r="E25" s="3">
        <f>AETS_CZ_NB_3L0Y7S3[[#This Row],[Quantity]]*3</f>
        <v>3</v>
      </c>
      <c r="F25" s="3" t="s">
        <v>116</v>
      </c>
      <c r="G25">
        <v>47.12</v>
      </c>
      <c r="H25">
        <f>AETS_CZ_NB_3L0Y7S3[[#This Row],[Quantity for 4 PCBs]]*AETS_CZ_NB_3L0Y7S3[[#This Row],[price per pcs]]</f>
        <v>141.35999999999999</v>
      </c>
      <c r="I25" s="1" t="s">
        <v>173</v>
      </c>
    </row>
    <row r="26" spans="1:9" x14ac:dyDescent="0.25">
      <c r="A26">
        <v>52</v>
      </c>
      <c r="B26" s="3" t="s">
        <v>133</v>
      </c>
      <c r="C26" s="3" t="s">
        <v>134</v>
      </c>
      <c r="D26" s="3">
        <v>1</v>
      </c>
      <c r="E26" s="3">
        <f>AETS_CZ_NB_3L0Y7S3[[#This Row],[Quantity]]*3</f>
        <v>3</v>
      </c>
      <c r="F26" s="3" t="s">
        <v>135</v>
      </c>
      <c r="G26" s="3">
        <v>188.23</v>
      </c>
      <c r="H26" s="3">
        <f>AETS_CZ_NB_3L0Y7S3[[#This Row],[Quantity for 4 PCBs]]*AETS_CZ_NB_3L0Y7S3[[#This Row],[price per pcs]]</f>
        <v>564.68999999999994</v>
      </c>
      <c r="I26" s="1" t="s">
        <v>174</v>
      </c>
    </row>
    <row r="27" spans="1:9" x14ac:dyDescent="0.25">
      <c r="A27">
        <v>9</v>
      </c>
      <c r="B27" s="3" t="s">
        <v>25</v>
      </c>
      <c r="C27" s="3" t="s">
        <v>26</v>
      </c>
      <c r="D27" s="3">
        <v>2</v>
      </c>
      <c r="E27" s="3">
        <f>AETS_CZ_NB_3L0Y7S3[[#This Row],[Quantity]]*3</f>
        <v>6</v>
      </c>
      <c r="F27" s="3" t="s">
        <v>27</v>
      </c>
      <c r="G27" s="3">
        <v>17.86</v>
      </c>
      <c r="H27" s="3">
        <f>AETS_CZ_NB_3L0Y7S3[[#This Row],[Quantity for 4 PCBs]]*AETS_CZ_NB_3L0Y7S3[[#This Row],[price per pcs]]</f>
        <v>107.16</v>
      </c>
      <c r="I27" s="1" t="s">
        <v>175</v>
      </c>
    </row>
    <row r="28" spans="1:9" x14ac:dyDescent="0.25">
      <c r="A28">
        <v>31</v>
      </c>
      <c r="B28" t="s">
        <v>80</v>
      </c>
      <c r="C28" t="s">
        <v>81</v>
      </c>
      <c r="D28">
        <v>2</v>
      </c>
      <c r="E28">
        <f>AETS_CZ_NB_3L0Y7S3[[#This Row],[Quantity]]*3</f>
        <v>6</v>
      </c>
      <c r="F28" t="s">
        <v>82</v>
      </c>
      <c r="G28">
        <v>2.68</v>
      </c>
      <c r="H28">
        <f>AETS_CZ_NB_3L0Y7S3[[#This Row],[Quantity for 4 PCBs]]*AETS_CZ_NB_3L0Y7S3[[#This Row],[price per pcs]]</f>
        <v>16.080000000000002</v>
      </c>
      <c r="I28" s="1" t="s">
        <v>176</v>
      </c>
    </row>
    <row r="29" spans="1:9" hidden="1" x14ac:dyDescent="0.25">
      <c r="A29">
        <v>15</v>
      </c>
      <c r="B29" t="s">
        <v>40</v>
      </c>
      <c r="C29" t="s">
        <v>41</v>
      </c>
      <c r="D29">
        <v>1</v>
      </c>
      <c r="E29">
        <f>AETS_CZ_NB_3L0Y7S3[[#This Row],[Quantity]]*3</f>
        <v>3</v>
      </c>
      <c r="F29" t="s">
        <v>42</v>
      </c>
      <c r="G29">
        <v>35.130000000000003</v>
      </c>
      <c r="H29">
        <f>AETS_CZ_NB_3L0Y7S3[[#This Row],[Quantity for 4 PCBs]]*AETS_CZ_NB_3L0Y7S3[[#This Row],[price per pcs]]</f>
        <v>105.39000000000001</v>
      </c>
      <c r="I29" s="1" t="s">
        <v>180</v>
      </c>
    </row>
    <row r="30" spans="1:9" hidden="1" x14ac:dyDescent="0.25">
      <c r="A30">
        <v>41</v>
      </c>
      <c r="B30" t="s">
        <v>104</v>
      </c>
      <c r="C30" t="s">
        <v>105</v>
      </c>
      <c r="D30">
        <v>1</v>
      </c>
      <c r="E30">
        <f>AETS_CZ_NB_3L0Y7S3[[#This Row],[Quantity]]*3</f>
        <v>3</v>
      </c>
      <c r="F30" t="s">
        <v>106</v>
      </c>
      <c r="G30">
        <v>0</v>
      </c>
      <c r="H30">
        <f>AETS_CZ_NB_3L0Y7S3[[#This Row],[Quantity for 4 PCBs]]*AETS_CZ_NB_3L0Y7S3[[#This Row],[price per pcs]]</f>
        <v>0</v>
      </c>
      <c r="I30" t="s">
        <v>215</v>
      </c>
    </row>
    <row r="31" spans="1:9" x14ac:dyDescent="0.25">
      <c r="A31">
        <v>16</v>
      </c>
      <c r="B31" s="3" t="s">
        <v>43</v>
      </c>
      <c r="C31" s="3" t="s">
        <v>44</v>
      </c>
      <c r="D31" s="3">
        <v>3</v>
      </c>
      <c r="E31" s="3">
        <f>AETS_CZ_NB_3L0Y7S3[[#This Row],[Quantity]]*3</f>
        <v>9</v>
      </c>
      <c r="F31" s="3" t="s">
        <v>45</v>
      </c>
      <c r="G31" s="3">
        <v>225.68</v>
      </c>
      <c r="H31" s="3">
        <f>AETS_CZ_NB_3L0Y7S3[[#This Row],[Quantity for 4 PCBs]]*AETS_CZ_NB_3L0Y7S3[[#This Row],[price per pcs]]</f>
        <v>2031.1200000000001</v>
      </c>
      <c r="I31" s="1" t="s">
        <v>181</v>
      </c>
    </row>
    <row r="32" spans="1:9" hidden="1" x14ac:dyDescent="0.25">
      <c r="A32">
        <v>26</v>
      </c>
      <c r="B32" t="s">
        <v>243</v>
      </c>
      <c r="C32" t="s">
        <v>245</v>
      </c>
      <c r="D32">
        <v>1</v>
      </c>
      <c r="E32">
        <f>AETS_CZ_NB_3L0Y7S3[[#This Row],[Quantity]]*3</f>
        <v>3</v>
      </c>
      <c r="F32" t="s">
        <v>245</v>
      </c>
      <c r="G32">
        <v>4.4740000000000002</v>
      </c>
      <c r="H32">
        <f>AETS_CZ_NB_3L0Y7S3[[#This Row],[Quantity for 4 PCBs]]*AETS_CZ_NB_3L0Y7S3[[#This Row],[price per pcs]]</f>
        <v>13.422000000000001</v>
      </c>
      <c r="I32" s="2" t="s">
        <v>246</v>
      </c>
    </row>
    <row r="33" spans="1:9" hidden="1" x14ac:dyDescent="0.25">
      <c r="B33" t="s">
        <v>244</v>
      </c>
      <c r="C33" t="s">
        <v>68</v>
      </c>
      <c r="D33">
        <v>1</v>
      </c>
      <c r="E33">
        <f>AETS_CZ_NB_3L0Y7S3[[#This Row],[Quantity]]*3</f>
        <v>3</v>
      </c>
      <c r="F33" t="s">
        <v>69</v>
      </c>
      <c r="G33">
        <v>3.4260000000000002</v>
      </c>
      <c r="H33">
        <f>AETS_CZ_NB_3L0Y7S3[[#This Row],[Quantity for 4 PCBs]]*AETS_CZ_NB_3L0Y7S3[[#This Row],[price per pcs]]</f>
        <v>10.278</v>
      </c>
      <c r="I33" s="1" t="s">
        <v>182</v>
      </c>
    </row>
    <row r="34" spans="1:9" x14ac:dyDescent="0.25">
      <c r="A34">
        <v>35</v>
      </c>
      <c r="B34" s="3" t="s">
        <v>90</v>
      </c>
      <c r="C34" s="3" t="s">
        <v>91</v>
      </c>
      <c r="D34" s="3">
        <v>1</v>
      </c>
      <c r="E34" s="3">
        <f>AETS_CZ_NB_3L0Y7S3[[#This Row],[Quantity]]*3</f>
        <v>3</v>
      </c>
      <c r="F34" s="3" t="s">
        <v>92</v>
      </c>
      <c r="G34" s="3">
        <v>36.21</v>
      </c>
      <c r="H34" s="3">
        <f>AETS_CZ_NB_3L0Y7S3[[#This Row],[Quantity for 4 PCBs]]*AETS_CZ_NB_3L0Y7S3[[#This Row],[price per pcs]]</f>
        <v>108.63</v>
      </c>
      <c r="I34" s="1" t="s">
        <v>185</v>
      </c>
    </row>
    <row r="35" spans="1:9" hidden="1" x14ac:dyDescent="0.25">
      <c r="A35">
        <v>20</v>
      </c>
      <c r="B35" t="s">
        <v>53</v>
      </c>
      <c r="C35" t="s">
        <v>54</v>
      </c>
      <c r="D35">
        <v>1</v>
      </c>
      <c r="E35">
        <f>AETS_CZ_NB_3L0Y7S3[[#This Row],[Quantity]]*3</f>
        <v>3</v>
      </c>
      <c r="F35" t="s">
        <v>55</v>
      </c>
      <c r="G35">
        <v>0</v>
      </c>
      <c r="H35">
        <f>AETS_CZ_NB_3L0Y7S3[[#This Row],[Quantity for 4 PCBs]]*AETS_CZ_NB_3L0Y7S3[[#This Row],[price per pcs]]</f>
        <v>0</v>
      </c>
      <c r="I35" t="s">
        <v>215</v>
      </c>
    </row>
    <row r="36" spans="1:9" x14ac:dyDescent="0.25">
      <c r="A36">
        <v>43</v>
      </c>
      <c r="B36" s="3" t="s">
        <v>109</v>
      </c>
      <c r="C36" s="3" t="s">
        <v>110</v>
      </c>
      <c r="D36" s="3">
        <v>1</v>
      </c>
      <c r="E36" s="3">
        <f>AETS_CZ_NB_3L0Y7S3[[#This Row],[Quantity]]*3</f>
        <v>3</v>
      </c>
      <c r="F36" s="3" t="s">
        <v>111</v>
      </c>
      <c r="G36" s="3">
        <v>17.41</v>
      </c>
      <c r="H36" s="3">
        <f>AETS_CZ_NB_3L0Y7S3[[#This Row],[Quantity for 4 PCBs]]*AETS_CZ_NB_3L0Y7S3[[#This Row],[price per pcs]]</f>
        <v>52.230000000000004</v>
      </c>
      <c r="I36" s="1" t="s">
        <v>186</v>
      </c>
    </row>
    <row r="37" spans="1:9" hidden="1" x14ac:dyDescent="0.25">
      <c r="A37">
        <v>34</v>
      </c>
      <c r="B37" t="s">
        <v>87</v>
      </c>
      <c r="C37" t="s">
        <v>88</v>
      </c>
      <c r="D37">
        <v>4</v>
      </c>
      <c r="E37">
        <f>AETS_CZ_NB_3L0Y7S3[[#This Row],[Quantity]]*3</f>
        <v>12</v>
      </c>
      <c r="F37" t="s">
        <v>89</v>
      </c>
      <c r="G37">
        <v>40.4</v>
      </c>
      <c r="H37">
        <f>AETS_CZ_NB_3L0Y7S3[[#This Row],[Quantity for 4 PCBs]]*AETS_CZ_NB_3L0Y7S3[[#This Row],[price per pcs]]</f>
        <v>484.79999999999995</v>
      </c>
      <c r="I37" s="1" t="s">
        <v>191</v>
      </c>
    </row>
    <row r="38" spans="1:9" x14ac:dyDescent="0.25">
      <c r="A38">
        <v>39</v>
      </c>
      <c r="B38" s="3" t="s">
        <v>99</v>
      </c>
      <c r="C38" s="3" t="s">
        <v>100</v>
      </c>
      <c r="D38" s="3">
        <v>1</v>
      </c>
      <c r="E38" s="3">
        <f>AETS_CZ_NB_3L0Y7S3[[#This Row],[Quantity]]*3</f>
        <v>3</v>
      </c>
      <c r="F38" s="3" t="s">
        <v>100</v>
      </c>
      <c r="G38" s="3">
        <v>12.05</v>
      </c>
      <c r="H38" s="3">
        <f>AETS_CZ_NB_3L0Y7S3[[#This Row],[Quantity for 4 PCBs]]*AETS_CZ_NB_3L0Y7S3[[#This Row],[price per pcs]]</f>
        <v>36.150000000000006</v>
      </c>
      <c r="I38" s="1" t="s">
        <v>192</v>
      </c>
    </row>
    <row r="39" spans="1:9" x14ac:dyDescent="0.25">
      <c r="A39">
        <v>23</v>
      </c>
      <c r="B39" s="3" t="s">
        <v>61</v>
      </c>
      <c r="C39" s="3" t="s">
        <v>62</v>
      </c>
      <c r="D39" s="3">
        <v>2</v>
      </c>
      <c r="E39" s="3">
        <f>AETS_CZ_NB_3L0Y7S3[[#This Row],[Quantity]]*3</f>
        <v>6</v>
      </c>
      <c r="F39" s="3" t="s">
        <v>63</v>
      </c>
      <c r="G39">
        <v>144.09</v>
      </c>
      <c r="H39">
        <f>AETS_CZ_NB_3L0Y7S3[[#This Row],[Quantity for 4 PCBs]]*AETS_CZ_NB_3L0Y7S3[[#This Row],[price per pcs]]</f>
        <v>864.54</v>
      </c>
      <c r="I39" s="1" t="s">
        <v>193</v>
      </c>
    </row>
    <row r="40" spans="1:9" x14ac:dyDescent="0.25">
      <c r="A40">
        <v>17</v>
      </c>
      <c r="B40" s="3" t="s">
        <v>46</v>
      </c>
      <c r="C40" s="3" t="s">
        <v>47</v>
      </c>
      <c r="D40" s="3">
        <v>5</v>
      </c>
      <c r="E40" s="3">
        <f>AETS_CZ_NB_3L0Y7S3[[#This Row],[Quantity]]*3</f>
        <v>15</v>
      </c>
      <c r="F40" s="3" t="s">
        <v>195</v>
      </c>
      <c r="G40" s="3">
        <v>2.23</v>
      </c>
      <c r="H40" s="3">
        <f>AETS_CZ_NB_3L0Y7S3[[#This Row],[Quantity for 4 PCBs]]*AETS_CZ_NB_3L0Y7S3[[#This Row],[price per pcs]]</f>
        <v>33.450000000000003</v>
      </c>
      <c r="I40" s="1" t="s">
        <v>194</v>
      </c>
    </row>
    <row r="41" spans="1:9" x14ac:dyDescent="0.25">
      <c r="A41">
        <v>12</v>
      </c>
      <c r="B41" s="3" t="s">
        <v>32</v>
      </c>
      <c r="C41" s="3" t="s">
        <v>33</v>
      </c>
      <c r="D41" s="3">
        <v>4</v>
      </c>
      <c r="E41" s="3">
        <f>AETS_CZ_NB_3L0Y7S3[[#This Row],[Quantity]]*3</f>
        <v>12</v>
      </c>
      <c r="F41" s="3" t="s">
        <v>198</v>
      </c>
      <c r="G41" s="3">
        <v>8.0399999999999991</v>
      </c>
      <c r="H41" s="3">
        <f>AETS_CZ_NB_3L0Y7S3[[#This Row],[Quantity for 4 PCBs]]*AETS_CZ_NB_3L0Y7S3[[#This Row],[price per pcs]]</f>
        <v>96.47999999999999</v>
      </c>
      <c r="I41" s="1" t="s">
        <v>197</v>
      </c>
    </row>
    <row r="42" spans="1:9" x14ac:dyDescent="0.25">
      <c r="A42">
        <v>32</v>
      </c>
      <c r="B42" s="3" t="s">
        <v>83</v>
      </c>
      <c r="C42" s="3" t="s">
        <v>33</v>
      </c>
      <c r="D42" s="3">
        <v>1</v>
      </c>
      <c r="E42" s="3">
        <f>AETS_CZ_NB_3L0Y7S3[[#This Row],[Quantity]]*3</f>
        <v>3</v>
      </c>
      <c r="F42" s="3" t="s">
        <v>84</v>
      </c>
      <c r="G42" s="3">
        <v>11.38</v>
      </c>
      <c r="H42" s="3">
        <f>AETS_CZ_NB_3L0Y7S3[[#This Row],[Quantity for 4 PCBs]]*AETS_CZ_NB_3L0Y7S3[[#This Row],[price per pcs]]</f>
        <v>34.14</v>
      </c>
      <c r="I42" s="1" t="s">
        <v>199</v>
      </c>
    </row>
    <row r="43" spans="1:9" x14ac:dyDescent="0.25">
      <c r="A43">
        <v>13</v>
      </c>
      <c r="B43" s="3" t="s">
        <v>34</v>
      </c>
      <c r="C43" s="3" t="s">
        <v>35</v>
      </c>
      <c r="D43" s="3">
        <v>2</v>
      </c>
      <c r="E43" s="3">
        <f>AETS_CZ_NB_3L0Y7S3[[#This Row],[Quantity]]*3</f>
        <v>6</v>
      </c>
      <c r="F43" s="3" t="s">
        <v>36</v>
      </c>
      <c r="G43">
        <v>8.26</v>
      </c>
      <c r="H43">
        <f>AETS_CZ_NB_3L0Y7S3[[#This Row],[Quantity for 4 PCBs]]*AETS_CZ_NB_3L0Y7S3[[#This Row],[price per pcs]]</f>
        <v>49.56</v>
      </c>
      <c r="I43" s="1" t="s">
        <v>200</v>
      </c>
    </row>
    <row r="44" spans="1:9" x14ac:dyDescent="0.25">
      <c r="A44">
        <v>46</v>
      </c>
      <c r="B44" s="3" t="s">
        <v>117</v>
      </c>
      <c r="C44" s="3" t="s">
        <v>118</v>
      </c>
      <c r="D44" s="3">
        <v>4</v>
      </c>
      <c r="E44" s="3">
        <f>AETS_CZ_NB_3L0Y7S3[[#This Row],[Quantity]]*3</f>
        <v>12</v>
      </c>
      <c r="F44" s="3" t="s">
        <v>119</v>
      </c>
      <c r="G44">
        <v>67.459999999999994</v>
      </c>
      <c r="H44">
        <f>AETS_CZ_NB_3L0Y7S3[[#This Row],[Quantity for 4 PCBs]]*AETS_CZ_NB_3L0Y7S3[[#This Row],[price per pcs]]</f>
        <v>809.52</v>
      </c>
      <c r="I44" s="1" t="s">
        <v>196</v>
      </c>
    </row>
    <row r="45" spans="1:9" x14ac:dyDescent="0.25">
      <c r="A45">
        <v>57</v>
      </c>
      <c r="B45" s="3" t="s">
        <v>146</v>
      </c>
      <c r="C45" s="3" t="s">
        <v>18</v>
      </c>
      <c r="D45" s="3">
        <v>2</v>
      </c>
      <c r="E45" s="3">
        <f>AETS_CZ_NB_3L0Y7S3[[#This Row],[Quantity]]*3</f>
        <v>6</v>
      </c>
      <c r="F45" s="3" t="s">
        <v>21</v>
      </c>
      <c r="G45" s="3">
        <v>2.23</v>
      </c>
      <c r="H45" s="3">
        <f>AETS_CZ_NB_3L0Y7S3[[#This Row],[Quantity for 4 PCBs]]*AETS_CZ_NB_3L0Y7S3[[#This Row],[price per pcs]]</f>
        <v>13.379999999999999</v>
      </c>
      <c r="I45" s="1" t="s">
        <v>205</v>
      </c>
    </row>
    <row r="46" spans="1:9" x14ac:dyDescent="0.25">
      <c r="A46">
        <v>22</v>
      </c>
      <c r="B46" s="3" t="s">
        <v>59</v>
      </c>
      <c r="C46" s="3" t="s">
        <v>9</v>
      </c>
      <c r="D46" s="3">
        <v>7</v>
      </c>
      <c r="E46" s="3">
        <f>AETS_CZ_NB_3L0Y7S3[[#This Row],[Quantity]]*3</f>
        <v>21</v>
      </c>
      <c r="F46" s="3" t="s">
        <v>60</v>
      </c>
      <c r="G46" s="3">
        <v>2.23</v>
      </c>
      <c r="H46" s="3">
        <f>AETS_CZ_NB_3L0Y7S3[[#This Row],[Quantity for 4 PCBs]]*AETS_CZ_NB_3L0Y7S3[[#This Row],[price per pcs]]</f>
        <v>46.83</v>
      </c>
      <c r="I46" s="1" t="s">
        <v>211</v>
      </c>
    </row>
    <row r="47" spans="1:9" x14ac:dyDescent="0.25">
      <c r="A47">
        <v>11</v>
      </c>
      <c r="B47" s="3" t="s">
        <v>30</v>
      </c>
      <c r="C47" s="3" t="s">
        <v>18</v>
      </c>
      <c r="D47" s="3">
        <v>1</v>
      </c>
      <c r="E47" s="3">
        <f>AETS_CZ_NB_3L0Y7S3[[#This Row],[Quantity]]*3</f>
        <v>3</v>
      </c>
      <c r="F47" s="3" t="s">
        <v>31</v>
      </c>
      <c r="G47" s="3">
        <v>2.23</v>
      </c>
      <c r="H47" s="3">
        <f>AETS_CZ_NB_3L0Y7S3[[#This Row],[Quantity for 4 PCBs]]*AETS_CZ_NB_3L0Y7S3[[#This Row],[price per pcs]]</f>
        <v>6.6899999999999995</v>
      </c>
      <c r="I47" s="1" t="s">
        <v>214</v>
      </c>
    </row>
    <row r="48" spans="1:9" x14ac:dyDescent="0.25">
      <c r="A48">
        <v>2</v>
      </c>
      <c r="B48" s="3" t="s">
        <v>8</v>
      </c>
      <c r="C48" s="3" t="s">
        <v>9</v>
      </c>
      <c r="D48" s="3">
        <v>11</v>
      </c>
      <c r="E48" s="3">
        <f>AETS_CZ_NB_3L0Y7S3[[#This Row],[Quantity]]*3</f>
        <v>33</v>
      </c>
      <c r="F48" s="3" t="s">
        <v>10</v>
      </c>
      <c r="G48" s="3">
        <v>2.23</v>
      </c>
      <c r="H48" s="3">
        <f>AETS_CZ_NB_3L0Y7S3[[#This Row],[Quantity for 4 PCBs]]*AETS_CZ_NB_3L0Y7S3[[#This Row],[price per pcs]]</f>
        <v>73.59</v>
      </c>
      <c r="I48" s="1" t="s">
        <v>208</v>
      </c>
    </row>
    <row r="49" spans="1:9" x14ac:dyDescent="0.25">
      <c r="A49">
        <v>4</v>
      </c>
      <c r="B49" s="3" t="s">
        <v>13</v>
      </c>
      <c r="C49" s="3" t="s">
        <v>9</v>
      </c>
      <c r="D49" s="3">
        <v>5</v>
      </c>
      <c r="E49" s="3">
        <f>AETS_CZ_NB_3L0Y7S3[[#This Row],[Quantity]]*3</f>
        <v>15</v>
      </c>
      <c r="F49" s="3" t="s">
        <v>14</v>
      </c>
      <c r="G49" s="3">
        <v>2.23</v>
      </c>
      <c r="H49" s="3">
        <f>AETS_CZ_NB_3L0Y7S3[[#This Row],[Quantity for 4 PCBs]]*AETS_CZ_NB_3L0Y7S3[[#This Row],[price per pcs]]</f>
        <v>33.450000000000003</v>
      </c>
      <c r="I49" s="1" t="s">
        <v>210</v>
      </c>
    </row>
    <row r="50" spans="1:9" x14ac:dyDescent="0.25">
      <c r="A50">
        <v>24</v>
      </c>
      <c r="B50" s="3" t="s">
        <v>64</v>
      </c>
      <c r="C50" s="3" t="s">
        <v>18</v>
      </c>
      <c r="D50" s="3">
        <v>4</v>
      </c>
      <c r="E50" s="3">
        <f>AETS_CZ_NB_3L0Y7S3[[#This Row],[Quantity]]*3</f>
        <v>12</v>
      </c>
      <c r="F50" s="3" t="s">
        <v>65</v>
      </c>
      <c r="G50" s="3">
        <v>2.13</v>
      </c>
      <c r="H50" s="3">
        <f>AETS_CZ_NB_3L0Y7S3[[#This Row],[Quantity for 4 PCBs]]*AETS_CZ_NB_3L0Y7S3[[#This Row],[price per pcs]]</f>
        <v>25.56</v>
      </c>
      <c r="I50" s="2" t="s">
        <v>258</v>
      </c>
    </row>
    <row r="51" spans="1:9" x14ac:dyDescent="0.25">
      <c r="A51">
        <v>58</v>
      </c>
      <c r="B51" s="3" t="s">
        <v>147</v>
      </c>
      <c r="C51" s="3" t="s">
        <v>9</v>
      </c>
      <c r="D51" s="3">
        <v>2</v>
      </c>
      <c r="E51" s="3">
        <f>AETS_CZ_NB_3L0Y7S3[[#This Row],[Quantity]]*3</f>
        <v>6</v>
      </c>
      <c r="F51" s="3" t="s">
        <v>148</v>
      </c>
      <c r="G51" s="3">
        <v>2.23</v>
      </c>
      <c r="H51" s="3">
        <f>AETS_CZ_NB_3L0Y7S3[[#This Row],[Quantity for 4 PCBs]]*AETS_CZ_NB_3L0Y7S3[[#This Row],[price per pcs]]</f>
        <v>13.379999999999999</v>
      </c>
      <c r="I51" s="1" t="s">
        <v>206</v>
      </c>
    </row>
    <row r="52" spans="1:9" hidden="1" x14ac:dyDescent="0.25">
      <c r="A52">
        <v>7</v>
      </c>
      <c r="B52" t="s">
        <v>20</v>
      </c>
      <c r="C52" t="s">
        <v>9</v>
      </c>
      <c r="D52">
        <v>17</v>
      </c>
      <c r="E52">
        <f>AETS_CZ_NB_3L0Y7S3[[#This Row],[Quantity]]*3</f>
        <v>51</v>
      </c>
      <c r="F52" t="s">
        <v>21</v>
      </c>
      <c r="G52">
        <v>1.54</v>
      </c>
      <c r="H52">
        <f>AETS_CZ_NB_3L0Y7S3[[#This Row],[Quantity for 4 PCBs]]*AETS_CZ_NB_3L0Y7S3[[#This Row],[price per pcs]]</f>
        <v>78.540000000000006</v>
      </c>
      <c r="I52" s="1" t="s">
        <v>251</v>
      </c>
    </row>
    <row r="53" spans="1:9" x14ac:dyDescent="0.25">
      <c r="A53">
        <v>6</v>
      </c>
      <c r="B53" s="3" t="s">
        <v>17</v>
      </c>
      <c r="C53" s="3" t="s">
        <v>18</v>
      </c>
      <c r="D53" s="3">
        <v>2</v>
      </c>
      <c r="E53" s="3">
        <f>AETS_CZ_NB_3L0Y7S3[[#This Row],[Quantity]]*3</f>
        <v>6</v>
      </c>
      <c r="F53" s="3" t="s">
        <v>19</v>
      </c>
      <c r="G53" s="3">
        <v>2.23</v>
      </c>
      <c r="H53" s="3">
        <f>AETS_CZ_NB_3L0Y7S3[[#This Row],[Quantity for 4 PCBs]]*AETS_CZ_NB_3L0Y7S3[[#This Row],[price per pcs]]</f>
        <v>13.379999999999999</v>
      </c>
      <c r="I53" s="1" t="s">
        <v>209</v>
      </c>
    </row>
    <row r="54" spans="1:9" x14ac:dyDescent="0.25">
      <c r="A54">
        <v>30</v>
      </c>
      <c r="B54" s="3" t="s">
        <v>78</v>
      </c>
      <c r="C54" s="3" t="s">
        <v>9</v>
      </c>
      <c r="D54" s="3">
        <v>6</v>
      </c>
      <c r="E54" s="3">
        <f>AETS_CZ_NB_3L0Y7S3[[#This Row],[Quantity]]*3</f>
        <v>18</v>
      </c>
      <c r="F54" s="3" t="s">
        <v>79</v>
      </c>
      <c r="G54" s="3">
        <v>2.23</v>
      </c>
      <c r="H54" s="3">
        <f>AETS_CZ_NB_3L0Y7S3[[#This Row],[Quantity for 4 PCBs]]*AETS_CZ_NB_3L0Y7S3[[#This Row],[price per pcs]]</f>
        <v>40.14</v>
      </c>
      <c r="I54" s="1" t="s">
        <v>212</v>
      </c>
    </row>
    <row r="55" spans="1:9" x14ac:dyDescent="0.25">
      <c r="A55">
        <v>44</v>
      </c>
      <c r="B55" s="3" t="s">
        <v>112</v>
      </c>
      <c r="C55" s="3" t="s">
        <v>9</v>
      </c>
      <c r="D55" s="3">
        <v>2</v>
      </c>
      <c r="E55" s="3">
        <f>AETS_CZ_NB_3L0Y7S3[[#This Row],[Quantity]]*3</f>
        <v>6</v>
      </c>
      <c r="F55" s="3" t="s">
        <v>113</v>
      </c>
      <c r="G55" s="3">
        <v>2.23</v>
      </c>
      <c r="H55" s="3">
        <f>AETS_CZ_NB_3L0Y7S3[[#This Row],[Quantity for 4 PCBs]]*AETS_CZ_NB_3L0Y7S3[[#This Row],[price per pcs]]</f>
        <v>13.379999999999999</v>
      </c>
      <c r="I55" s="1" t="s">
        <v>207</v>
      </c>
    </row>
    <row r="56" spans="1:9" x14ac:dyDescent="0.25">
      <c r="A56">
        <v>33</v>
      </c>
      <c r="B56" s="3" t="s">
        <v>85</v>
      </c>
      <c r="C56" s="3" t="s">
        <v>9</v>
      </c>
      <c r="D56" s="3">
        <v>2</v>
      </c>
      <c r="E56" s="3">
        <f>AETS_CZ_NB_3L0Y7S3[[#This Row],[Quantity]]*3</f>
        <v>6</v>
      </c>
      <c r="F56" s="3" t="s">
        <v>86</v>
      </c>
      <c r="G56" s="3">
        <v>2.2330000000000001</v>
      </c>
      <c r="H56" s="3">
        <f>AETS_CZ_NB_3L0Y7S3[[#This Row],[Quantity for 4 PCBs]]*AETS_CZ_NB_3L0Y7S3[[#This Row],[price per pcs]]</f>
        <v>13.398</v>
      </c>
      <c r="I56" s="1" t="s">
        <v>213</v>
      </c>
    </row>
    <row r="57" spans="1:9" x14ac:dyDescent="0.25">
      <c r="A57">
        <v>54</v>
      </c>
      <c r="B57" s="3" t="s">
        <v>138</v>
      </c>
      <c r="C57" s="3" t="s">
        <v>139</v>
      </c>
      <c r="D57" s="3">
        <v>2</v>
      </c>
      <c r="E57" s="3">
        <f>AETS_CZ_NB_3L0Y7S3[[#This Row],[Quantity]]*3</f>
        <v>6</v>
      </c>
      <c r="F57" s="3" t="s">
        <v>140</v>
      </c>
      <c r="G57" s="3">
        <v>9.15</v>
      </c>
      <c r="H57" s="3">
        <f>AETS_CZ_NB_3L0Y7S3[[#This Row],[Quantity for 4 PCBs]]*AETS_CZ_NB_3L0Y7S3[[#This Row],[price per pcs]]</f>
        <v>54.900000000000006</v>
      </c>
      <c r="I57" s="4" t="s">
        <v>202</v>
      </c>
    </row>
    <row r="58" spans="1:9" x14ac:dyDescent="0.25">
      <c r="A58">
        <v>38</v>
      </c>
      <c r="B58" s="3" t="s">
        <v>97</v>
      </c>
      <c r="C58" s="3">
        <v>17861650002</v>
      </c>
      <c r="D58" s="3">
        <v>6</v>
      </c>
      <c r="E58" s="3">
        <f>AETS_CZ_NB_3L0Y7S3[[#This Row],[Quantity]]*3</f>
        <v>18</v>
      </c>
      <c r="F58" s="3" t="s">
        <v>98</v>
      </c>
      <c r="G58" s="3">
        <v>104.9</v>
      </c>
      <c r="H58" s="3">
        <f>AETS_CZ_NB_3L0Y7S3[[#This Row],[Quantity for 4 PCBs]]*AETS_CZ_NB_3L0Y7S3[[#This Row],[price per pcs]]</f>
        <v>1888.2</v>
      </c>
      <c r="I58" s="1" t="s">
        <v>203</v>
      </c>
    </row>
    <row r="59" spans="1:9" x14ac:dyDescent="0.25">
      <c r="A59">
        <v>18</v>
      </c>
      <c r="B59" s="3" t="s">
        <v>48</v>
      </c>
      <c r="C59" s="3" t="s">
        <v>49</v>
      </c>
      <c r="D59" s="3">
        <v>4</v>
      </c>
      <c r="E59" s="3">
        <f>AETS_CZ_NB_3L0Y7S3[[#This Row],[Quantity]]*3</f>
        <v>12</v>
      </c>
      <c r="F59" s="3" t="s">
        <v>50</v>
      </c>
      <c r="G59" s="3">
        <v>73.66</v>
      </c>
      <c r="H59" s="3">
        <f>AETS_CZ_NB_3L0Y7S3[[#This Row],[Quantity for 4 PCBs]]*AETS_CZ_NB_3L0Y7S3[[#This Row],[price per pcs]]</f>
        <v>883.92</v>
      </c>
      <c r="I59" s="1" t="s">
        <v>204</v>
      </c>
    </row>
    <row r="60" spans="1:9" x14ac:dyDescent="0.25">
      <c r="A60">
        <v>28</v>
      </c>
      <c r="B60" s="3" t="s">
        <v>72</v>
      </c>
      <c r="C60" s="3" t="s">
        <v>73</v>
      </c>
      <c r="D60" s="3">
        <v>1</v>
      </c>
      <c r="E60" s="3">
        <f>AETS_CZ_NB_3L0Y7S3[[#This Row],[Quantity]]*3</f>
        <v>3</v>
      </c>
      <c r="F60" s="3" t="s">
        <v>74</v>
      </c>
      <c r="G60">
        <v>8.93</v>
      </c>
      <c r="H60">
        <f>AETS_CZ_NB_3L0Y7S3[[#This Row],[Quantity for 4 PCBs]]*AETS_CZ_NB_3L0Y7S3[[#This Row],[price per pcs]]</f>
        <v>26.79</v>
      </c>
      <c r="I60" s="1" t="s">
        <v>201</v>
      </c>
    </row>
    <row r="61" spans="1:9" x14ac:dyDescent="0.25">
      <c r="A61">
        <v>47</v>
      </c>
      <c r="B61" s="3" t="s">
        <v>120</v>
      </c>
      <c r="C61" s="3" t="s">
        <v>121</v>
      </c>
      <c r="D61" s="3">
        <v>2</v>
      </c>
      <c r="E61" s="3">
        <f>AETS_CZ_NB_3L0Y7S3[[#This Row],[Quantity]]*3</f>
        <v>6</v>
      </c>
      <c r="F61" s="3" t="s">
        <v>241</v>
      </c>
      <c r="G61">
        <v>8.11</v>
      </c>
      <c r="H61">
        <f>AETS_CZ_NB_3L0Y7S3[[#This Row],[Quantity for 4 PCBs]]*AETS_CZ_NB_3L0Y7S3[[#This Row],[price per pcs]]</f>
        <v>48.66</v>
      </c>
      <c r="I61" s="1" t="s">
        <v>242</v>
      </c>
    </row>
    <row r="62" spans="1:9" hidden="1" x14ac:dyDescent="0.25">
      <c r="C62" t="s">
        <v>177</v>
      </c>
      <c r="D62">
        <v>1</v>
      </c>
      <c r="E62">
        <f>AETS_CZ_NB_3L0Y7S3[[#This Row],[Quantity]]*3</f>
        <v>3</v>
      </c>
      <c r="F62" t="s">
        <v>178</v>
      </c>
      <c r="G62">
        <v>203.41</v>
      </c>
      <c r="H62">
        <f>AETS_CZ_NB_3L0Y7S3[[#This Row],[Quantity for 4 PCBs]]*AETS_CZ_NB_3L0Y7S3[[#This Row],[price per pcs]]</f>
        <v>610.23</v>
      </c>
      <c r="I62" s="1" t="s">
        <v>179</v>
      </c>
    </row>
    <row r="63" spans="1:9" hidden="1" x14ac:dyDescent="0.25">
      <c r="C63" t="s">
        <v>248</v>
      </c>
      <c r="D63">
        <v>1</v>
      </c>
      <c r="E63">
        <f>AETS_CZ_NB_3L0Y7S3[[#This Row],[Quantity]]*3</f>
        <v>3</v>
      </c>
      <c r="F63" t="s">
        <v>249</v>
      </c>
      <c r="G63">
        <v>1.42</v>
      </c>
      <c r="H63">
        <f>AETS_CZ_NB_3L0Y7S3[[#This Row],[Quantity for 4 PCBs]]*AETS_CZ_NB_3L0Y7S3[[#This Row],[price per pcs]]</f>
        <v>4.26</v>
      </c>
      <c r="I63" s="1" t="s">
        <v>250</v>
      </c>
    </row>
    <row r="64" spans="1:9" hidden="1" x14ac:dyDescent="0.25">
      <c r="C64" t="s">
        <v>247</v>
      </c>
      <c r="D64">
        <v>1</v>
      </c>
      <c r="E64">
        <f>AETS_CZ_NB_3L0Y7S3[[#This Row],[Quantity]]*3</f>
        <v>3</v>
      </c>
      <c r="F64" t="s">
        <v>184</v>
      </c>
      <c r="G64">
        <v>1.49</v>
      </c>
      <c r="H64">
        <f>AETS_CZ_NB_3L0Y7S3[[#This Row],[Quantity for 4 PCBs]]*AETS_CZ_NB_3L0Y7S3[[#This Row],[price per pcs]]</f>
        <v>4.47</v>
      </c>
      <c r="I64" s="1" t="s">
        <v>183</v>
      </c>
    </row>
    <row r="65" spans="2:9" hidden="1" x14ac:dyDescent="0.25">
      <c r="C65" t="s">
        <v>253</v>
      </c>
      <c r="D65">
        <v>20</v>
      </c>
      <c r="E65">
        <f>AETS_CZ_NB_3L0Y7S3[[#This Row],[Quantity]]*3</f>
        <v>60</v>
      </c>
      <c r="F65" t="s">
        <v>254</v>
      </c>
      <c r="G65">
        <v>1.01</v>
      </c>
      <c r="H65">
        <f>AETS_CZ_NB_3L0Y7S3[[#This Row],[Quantity for 4 PCBs]]*AETS_CZ_NB_3L0Y7S3[[#This Row],[price per pcs]]</f>
        <v>60.6</v>
      </c>
      <c r="I65" s="1" t="s">
        <v>255</v>
      </c>
    </row>
    <row r="66" spans="2:9" x14ac:dyDescent="0.25">
      <c r="B66" s="3"/>
      <c r="C66" s="3" t="s">
        <v>187</v>
      </c>
      <c r="D66" s="3">
        <v>4</v>
      </c>
      <c r="E66" s="3">
        <f>AETS_CZ_NB_3L0Y7S3[[#This Row],[Quantity]]*3</f>
        <v>12</v>
      </c>
      <c r="F66" s="3">
        <v>2961309</v>
      </c>
      <c r="G66" s="3">
        <v>166.16</v>
      </c>
      <c r="H66" s="3">
        <f>AETS_CZ_NB_3L0Y7S3[[#This Row],[Quantity for 4 PCBs]]*AETS_CZ_NB_3L0Y7S3[[#This Row],[price per pcs]]</f>
        <v>1993.92</v>
      </c>
      <c r="I66" s="1" t="s">
        <v>188</v>
      </c>
    </row>
    <row r="67" spans="2:9" hidden="1" x14ac:dyDescent="0.25">
      <c r="C67" t="s">
        <v>189</v>
      </c>
      <c r="D67">
        <v>4</v>
      </c>
      <c r="E67">
        <f>AETS_CZ_NB_3L0Y7S3[[#This Row],[Quantity]]*3</f>
        <v>12</v>
      </c>
      <c r="F67">
        <v>95.51</v>
      </c>
      <c r="G67">
        <v>7.28</v>
      </c>
      <c r="H67">
        <f>AETS_CZ_NB_3L0Y7S3[[#This Row],[Quantity for 4 PCBs]]*AETS_CZ_NB_3L0Y7S3[[#This Row],[price per pcs]]</f>
        <v>87.36</v>
      </c>
      <c r="I67" s="1" t="s">
        <v>190</v>
      </c>
    </row>
    <row r="68" spans="2:9" hidden="1" x14ac:dyDescent="0.25">
      <c r="C68" t="s">
        <v>217</v>
      </c>
      <c r="D68">
        <v>1</v>
      </c>
      <c r="E68">
        <f>AETS_CZ_NB_3L0Y7S3[[#This Row],[Quantity]]*3</f>
        <v>3</v>
      </c>
      <c r="F68" t="s">
        <v>219</v>
      </c>
      <c r="G68">
        <v>839.12</v>
      </c>
      <c r="H68">
        <f>AETS_CZ_NB_3L0Y7S3[[#This Row],[Quantity for 4 PCBs]]*AETS_CZ_NB_3L0Y7S3[[#This Row],[price per pcs]]</f>
        <v>2517.36</v>
      </c>
      <c r="I68" s="1" t="s">
        <v>218</v>
      </c>
    </row>
    <row r="69" spans="2:9" x14ac:dyDescent="0.25">
      <c r="B69" s="3"/>
      <c r="C69" s="3" t="s">
        <v>220</v>
      </c>
      <c r="D69" s="3">
        <v>1</v>
      </c>
      <c r="E69" s="3">
        <f>AETS_CZ_NB_3L0Y7S3[[#This Row],[Quantity]]*3</f>
        <v>3</v>
      </c>
      <c r="F69" s="3" t="s">
        <v>221</v>
      </c>
      <c r="G69" s="3">
        <v>58.78</v>
      </c>
      <c r="H69" s="3">
        <f>AETS_CZ_NB_3L0Y7S3[[#This Row],[Quantity for 4 PCBs]]*AETS_CZ_NB_3L0Y7S3[[#This Row],[price per pcs]]</f>
        <v>176.34</v>
      </c>
      <c r="I69" s="1" t="s">
        <v>222</v>
      </c>
    </row>
    <row r="70" spans="2:9" hidden="1" x14ac:dyDescent="0.25">
      <c r="C70" t="s">
        <v>223</v>
      </c>
      <c r="D70">
        <v>6</v>
      </c>
      <c r="E70">
        <f>AETS_CZ_NB_3L0Y7S3[[#This Row],[Quantity]]*3</f>
        <v>18</v>
      </c>
      <c r="F70" t="s">
        <v>233</v>
      </c>
      <c r="G70">
        <v>46.17</v>
      </c>
      <c r="H70">
        <f>AETS_CZ_NB_3L0Y7S3[[#This Row],[Quantity for 4 PCBs]]*AETS_CZ_NB_3L0Y7S3[[#This Row],[price per pcs]]</f>
        <v>831.06000000000006</v>
      </c>
      <c r="I70" s="1" t="s">
        <v>237</v>
      </c>
    </row>
    <row r="71" spans="2:9" hidden="1" x14ac:dyDescent="0.25">
      <c r="C71" t="s">
        <v>224</v>
      </c>
      <c r="D71">
        <v>1</v>
      </c>
      <c r="E71">
        <v>2</v>
      </c>
      <c r="F71" t="s">
        <v>225</v>
      </c>
      <c r="G71">
        <v>680.81</v>
      </c>
      <c r="H71">
        <f>AETS_CZ_NB_3L0Y7S3[[#This Row],[Quantity for 4 PCBs]]*AETS_CZ_NB_3L0Y7S3[[#This Row],[price per pcs]]</f>
        <v>1361.62</v>
      </c>
      <c r="I71" s="1" t="s">
        <v>226</v>
      </c>
    </row>
    <row r="72" spans="2:9" hidden="1" x14ac:dyDescent="0.25">
      <c r="C72" t="s">
        <v>227</v>
      </c>
      <c r="D72">
        <v>8</v>
      </c>
      <c r="E72">
        <f>AETS_CZ_NB_3L0Y7S3[[#This Row],[Quantity]]*3</f>
        <v>24</v>
      </c>
      <c r="F72" t="s">
        <v>229</v>
      </c>
      <c r="G72">
        <v>22.64</v>
      </c>
      <c r="H72">
        <f>AETS_CZ_NB_3L0Y7S3[[#This Row],[Quantity for 4 PCBs]]*AETS_CZ_NB_3L0Y7S3[[#This Row],[price per pcs]]</f>
        <v>543.36</v>
      </c>
      <c r="I72" s="1" t="s">
        <v>231</v>
      </c>
    </row>
    <row r="73" spans="2:9" hidden="1" x14ac:dyDescent="0.25">
      <c r="C73" t="s">
        <v>234</v>
      </c>
      <c r="D73">
        <v>4</v>
      </c>
      <c r="E73">
        <f>AETS_CZ_NB_3L0Y7S3[[#This Row],[Quantity]]*3</f>
        <v>12</v>
      </c>
      <c r="F73" t="s">
        <v>236</v>
      </c>
      <c r="G73">
        <v>21.61</v>
      </c>
      <c r="H73">
        <f>AETS_CZ_NB_3L0Y7S3[[#This Row],[Quantity for 4 PCBs]]*AETS_CZ_NB_3L0Y7S3[[#This Row],[price per pcs]]</f>
        <v>259.32</v>
      </c>
      <c r="I73" s="1" t="s">
        <v>235</v>
      </c>
    </row>
    <row r="74" spans="2:9" hidden="1" x14ac:dyDescent="0.25">
      <c r="C74" t="s">
        <v>228</v>
      </c>
      <c r="D74">
        <v>4</v>
      </c>
      <c r="E74">
        <f>AETS_CZ_NB_3L0Y7S3[[#This Row],[Quantity]]*3</f>
        <v>12</v>
      </c>
      <c r="F74" t="s">
        <v>230</v>
      </c>
      <c r="G74">
        <v>22.64</v>
      </c>
      <c r="H74">
        <f>AETS_CZ_NB_3L0Y7S3[[#This Row],[Quantity for 4 PCBs]]*AETS_CZ_NB_3L0Y7S3[[#This Row],[price per pcs]]</f>
        <v>271.68</v>
      </c>
      <c r="I74" s="1" t="s">
        <v>232</v>
      </c>
    </row>
    <row r="76" spans="2:9" x14ac:dyDescent="0.25">
      <c r="G76" t="s">
        <v>256</v>
      </c>
      <c r="H76">
        <f>SUM(AETS_CZ_NB_3L0Y7S3[total price])</f>
        <v>19084.348000000002</v>
      </c>
    </row>
    <row r="77" spans="2:9" x14ac:dyDescent="0.25">
      <c r="B77">
        <f>COUNT(D2:D69)</f>
        <v>68</v>
      </c>
      <c r="G77" t="s">
        <v>257</v>
      </c>
      <c r="H77">
        <f>H76/3</f>
        <v>6361.4493333333339</v>
      </c>
    </row>
  </sheetData>
  <hyperlinks>
    <hyperlink ref="I2" r:id="rId1" xr:uid="{0832F4BB-E90F-411E-8138-ED2155FB18DF}"/>
    <hyperlink ref="I3" r:id="rId2" xr:uid="{5D791DA9-A7B2-444A-BECA-58B4283D6D86}"/>
    <hyperlink ref="I9" r:id="rId3" xr:uid="{4BC443EF-6018-4CDD-AF88-86513A18725A}"/>
    <hyperlink ref="I11" r:id="rId4" xr:uid="{3890F4AC-0202-4218-AB38-C13D46B00350}"/>
    <hyperlink ref="I4" r:id="rId5" xr:uid="{625B15D8-4C06-4871-B49B-B9ADAFC1F117}"/>
    <hyperlink ref="I10" r:id="rId6" xr:uid="{B1C53557-2B4B-4878-A731-2C3F11D25799}"/>
    <hyperlink ref="I8" r:id="rId7" xr:uid="{926E0039-9834-4E73-B027-04DC2E2E5B40}"/>
    <hyperlink ref="I5" r:id="rId8" xr:uid="{A14E4D51-FAE3-439D-9F8B-2DC7F13F0A2A}"/>
    <hyperlink ref="I6" r:id="rId9" xr:uid="{A7832315-1A01-42F7-A22E-849D148CC7F4}"/>
    <hyperlink ref="I7" r:id="rId10" xr:uid="{580A32E8-CD93-4740-8BBA-8FED50248360}"/>
    <hyperlink ref="I12" r:id="rId11" xr:uid="{3A23B679-58A3-4802-A83C-CA30CBF1F072}"/>
    <hyperlink ref="I13" r:id="rId12" xr:uid="{661505A5-A2A1-4CFF-A25F-F4294BEBFDCE}"/>
    <hyperlink ref="I14" r:id="rId13" xr:uid="{B145906E-FCC5-4642-96CC-FAA4614C7611}"/>
    <hyperlink ref="I15" r:id="rId14" xr:uid="{18A386D7-FBA8-4356-B82B-D110EB998820}"/>
    <hyperlink ref="I16" r:id="rId15" xr:uid="{D7757A33-33D8-4C59-BC24-2C6BE9543E8A}"/>
    <hyperlink ref="I17" r:id="rId16" xr:uid="{7614DBB0-A6D0-4C9F-BF6F-508DAA09D4B7}"/>
    <hyperlink ref="I21" r:id="rId17" xr:uid="{27A81D65-41D4-4115-9735-B5C6F8205E14}"/>
    <hyperlink ref="I22" r:id="rId18" xr:uid="{5AC6985E-07A2-4A7C-986D-709DB3358F7B}"/>
    <hyperlink ref="I23" r:id="rId19" xr:uid="{C839DA2D-9BA3-4FAF-BF00-E36AE861AA00}"/>
    <hyperlink ref="I24" r:id="rId20" xr:uid="{B154BFC0-A483-4F9B-9B65-D7423C0CC6D1}"/>
    <hyperlink ref="I25" r:id="rId21" xr:uid="{D6FAAF5E-8A0B-4239-880A-39A54E9B3597}"/>
    <hyperlink ref="I26" r:id="rId22" xr:uid="{0568071C-BA34-49B5-843E-A9673C617F6C}"/>
    <hyperlink ref="I27" r:id="rId23" xr:uid="{E7601660-5079-45CB-BA51-F36BA1264B7D}"/>
    <hyperlink ref="I28" r:id="rId24" xr:uid="{06C5A3FA-BBCF-48A0-8432-D19B5663D6BB}"/>
    <hyperlink ref="I62" r:id="rId25" xr:uid="{084D29B6-C4EE-4752-9371-09DD5941A73A}"/>
    <hyperlink ref="I29" r:id="rId26" display="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" xr:uid="{8D72A85E-C5B2-4100-B467-BD0A816EB74D}"/>
    <hyperlink ref="I31" r:id="rId27" xr:uid="{CCB74C48-2D99-418E-9505-D83B4ABDA384}"/>
    <hyperlink ref="I33" r:id="rId28" xr:uid="{E95D0CA6-590B-4EF9-841E-76C4C4D5CCC1}"/>
    <hyperlink ref="I64" r:id="rId29" xr:uid="{472BE0C8-C702-4310-8DF4-99AF731231D0}"/>
    <hyperlink ref="I34" r:id="rId30" xr:uid="{62A9D880-F629-4A6F-BAF3-9B48E24F9411}"/>
    <hyperlink ref="I36" r:id="rId31" xr:uid="{C97E3293-897E-4710-9B2C-6DE8B01604A9}"/>
    <hyperlink ref="I66" r:id="rId32" xr:uid="{FBAE4E2A-FD1B-4F4B-8602-9BE75D62AB69}"/>
    <hyperlink ref="I67" r:id="rId33" xr:uid="{0A55D45C-D71A-46F2-92F4-30CC857734DE}"/>
    <hyperlink ref="I37" r:id="rId34" xr:uid="{49D2B5AB-2DA8-4F39-9670-A66ACA0EFF87}"/>
    <hyperlink ref="I38" r:id="rId35" xr:uid="{41C89B0A-AB4E-4822-B5B4-F5A8F5EE5CF6}"/>
    <hyperlink ref="I39" r:id="rId36" xr:uid="{23D8571B-1BC2-4AB0-9A0B-B59290A451AB}"/>
    <hyperlink ref="I40" r:id="rId37" xr:uid="{03367AAB-38AC-49DA-BC00-871537FDE653}"/>
    <hyperlink ref="I44" r:id="rId38" xr:uid="{144C1F09-DFF8-4A40-B43F-2F256371A06E}"/>
    <hyperlink ref="I41" r:id="rId39" xr:uid="{056B3A9C-EAE8-4AEE-A3A9-B99C7099951C}"/>
    <hyperlink ref="I42" r:id="rId40" xr:uid="{9DDD02D8-05B4-4906-BA9E-7AA09A845062}"/>
    <hyperlink ref="I43" r:id="rId41" xr:uid="{4E9383D3-4FB0-4F93-A7FC-20FA56D084C8}"/>
    <hyperlink ref="I60" r:id="rId42" xr:uid="{43F8F8B5-19FA-4390-8091-9D9823019767}"/>
    <hyperlink ref="I61" r:id="rId43" xr:uid="{2F535BFD-7510-4BD1-B5E1-C7942D1B8E37}"/>
    <hyperlink ref="I57" r:id="rId44" xr:uid="{B89ED98D-DBBC-4089-BB91-8B441DB8C154}"/>
    <hyperlink ref="I58" r:id="rId45" xr:uid="{331F79F6-E349-42D4-A3C1-E4D3141E7AEF}"/>
    <hyperlink ref="I59" r:id="rId46" xr:uid="{C376ACA0-4E7D-4C03-8E14-8AFCAA4C2D1A}"/>
    <hyperlink ref="I45" r:id="rId47" xr:uid="{FAB76B40-C5F0-400E-BD58-FBD5213712BA}"/>
    <hyperlink ref="I52" r:id="rId48" xr:uid="{1C6FE4CC-1540-4AED-9CE2-E381EB52B68E}"/>
    <hyperlink ref="I51" r:id="rId49" xr:uid="{06F75F9E-2C40-4198-AAAA-EEF4425E40E6}"/>
    <hyperlink ref="I55" r:id="rId50" xr:uid="{C586A6BC-8EF9-459C-8BD0-61C75979EE2B}"/>
    <hyperlink ref="I48" r:id="rId51" xr:uid="{9A8BFC6F-A26F-497A-9114-698B688374EF}"/>
    <hyperlink ref="I53" r:id="rId52" xr:uid="{FD77DAE6-B83F-4D60-A25B-F5BE7FB2B9A2}"/>
    <hyperlink ref="I49" r:id="rId53" xr:uid="{E557B708-0224-4EE3-99B0-07A69576440A}"/>
    <hyperlink ref="I46" r:id="rId54" xr:uid="{1A5676DE-DAB1-4F82-A6E3-A90370EEF587}"/>
    <hyperlink ref="I54" r:id="rId55" xr:uid="{9ED52795-3F3C-4949-AC5F-B1B4108EE978}"/>
    <hyperlink ref="I56" r:id="rId56" xr:uid="{0954FF1C-FB83-4DC2-B84F-5BC9ADEA70F3}"/>
    <hyperlink ref="I47" r:id="rId57" xr:uid="{9D7B0450-460D-4A43-9CA0-0C691929AE46}"/>
    <hyperlink ref="I20" r:id="rId58" xr:uid="{2A1DF07E-720C-4A22-B3E7-49712DEFF7C3}"/>
    <hyperlink ref="I68" r:id="rId59" xr:uid="{5CE62F76-819F-4A47-98F4-F3B710582580}"/>
    <hyperlink ref="I69" r:id="rId60" xr:uid="{632BA34D-0AA6-48EA-882B-CA225477C337}"/>
    <hyperlink ref="I71" r:id="rId61" xr:uid="{ED87D1E0-F661-4D32-AE1E-072F6D3A303C}"/>
    <hyperlink ref="I72" r:id="rId62" xr:uid="{B78B8A08-8812-4BF3-ACF6-166C08A0381E}"/>
    <hyperlink ref="I74" r:id="rId63" xr:uid="{738F5189-D2B7-46C2-9CA3-CD21E1D8D44A}"/>
    <hyperlink ref="I73" r:id="rId64" xr:uid="{66ACAE2D-FD7F-4A51-95C2-259A070B4E22}"/>
    <hyperlink ref="I32" r:id="rId65" xr:uid="{748F38CD-A599-40CF-B913-8FFDB2FFC7F0}"/>
    <hyperlink ref="I63" r:id="rId66" xr:uid="{1052BE70-6A40-41AB-A867-8B1AC778209D}"/>
    <hyperlink ref="I70" r:id="rId67" xr:uid="{EB4B7D16-9D18-4329-A0E4-33E7B317841A}"/>
    <hyperlink ref="I65" r:id="rId68" xr:uid="{0CAB9546-C9EC-4B31-9C2E-F0DF1F42A5A7}"/>
    <hyperlink ref="I50" r:id="rId69" xr:uid="{D8BF784A-A252-4D8F-91E2-6363EA2E82DF}"/>
  </hyperlinks>
  <pageMargins left="0.7" right="0.7" top="0.78740157499999996" bottom="0.78740157499999996" header="0.3" footer="0.3"/>
  <pageSetup paperSize="9" orientation="portrait" verticalDpi="0" r:id="rId70"/>
  <tableParts count="1">
    <tablePart r:id="rId7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617F5-12CD-4787-B850-E8467FE34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AETS-CZ-NB-3L0Y7S3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Micek, Vojtech</cp:lastModifiedBy>
  <dcterms:created xsi:type="dcterms:W3CDTF">2025-07-17T08:21:08Z</dcterms:created>
  <dcterms:modified xsi:type="dcterms:W3CDTF">2026-01-14T13:22:18Z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2025-07-17T08:23:08Z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4db893fd-5200-4456-92aa-0217f3c036d5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</Properties>
</file>