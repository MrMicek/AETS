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esco-my.sharepoint.com/personal/uiv10467_vitesco_com/Documents/Plocha/AETS_DIPLOMA_THESIS/automatedelectrictestingsystem_aets/resources/"/>
    </mc:Choice>
  </mc:AlternateContent>
  <xr:revisionPtr revIDLastSave="0" documentId="8_{B2463AD1-78BD-4F72-A22F-CDB85EDFA425}" xr6:coauthVersionLast="47" xr6:coauthVersionMax="47" xr10:uidLastSave="{00000000-0000-0000-0000-000000000000}"/>
  <bookViews>
    <workbookView xWindow="4485" yWindow="1260" windowWidth="21600" windowHeight="11295" xr2:uid="{B956F672-FB27-40ED-BBA9-9265F343967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H12" i="1" s="1"/>
  <c r="B18" i="1"/>
  <c r="K7" i="1"/>
  <c r="L7" i="1" s="1"/>
  <c r="M7" i="1" s="1"/>
  <c r="K6" i="1"/>
  <c r="L6" i="1" s="1"/>
  <c r="M6" i="1" s="1"/>
  <c r="K5" i="1"/>
  <c r="L5" i="1" s="1"/>
  <c r="M5" i="1" s="1"/>
  <c r="B11" i="1"/>
  <c r="B12" i="1" s="1"/>
  <c r="H13" i="1" l="1"/>
  <c r="H14" i="1"/>
</calcChain>
</file>

<file path=xl/sharedStrings.xml><?xml version="1.0" encoding="utf-8"?>
<sst xmlns="http://schemas.openxmlformats.org/spreadsheetml/2006/main" count="32" uniqueCount="27">
  <si>
    <t>capacitance</t>
  </si>
  <si>
    <t>voltage min</t>
  </si>
  <si>
    <t>droptime  3.3-&gt;1.7V</t>
  </si>
  <si>
    <t xml:space="preserve">i2c speed </t>
  </si>
  <si>
    <t>s</t>
  </si>
  <si>
    <t>us</t>
  </si>
  <si>
    <t>voltage eeprom min</t>
  </si>
  <si>
    <t>uF</t>
  </si>
  <si>
    <t>ms</t>
  </si>
  <si>
    <t>bits/s</t>
  </si>
  <si>
    <t>bits_sent</t>
  </si>
  <si>
    <t>bits</t>
  </si>
  <si>
    <t>bits written with int32 data</t>
  </si>
  <si>
    <t>msg</t>
  </si>
  <si>
    <t>number of messages</t>
  </si>
  <si>
    <t>aprox time for MCU</t>
  </si>
  <si>
    <t>time to store</t>
  </si>
  <si>
    <t>V</t>
  </si>
  <si>
    <t>U(t)</t>
  </si>
  <si>
    <t>U(0)</t>
  </si>
  <si>
    <t>Rc</t>
  </si>
  <si>
    <t>R</t>
  </si>
  <si>
    <t>needed capacitance</t>
  </si>
  <si>
    <t>number of messages needed</t>
  </si>
  <si>
    <t>number of bits needed</t>
  </si>
  <si>
    <t>nF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</si>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</sst>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3931-AEE9-407C-BE27-4E5A37378770}">
  <dimension ref="A3:M19"/>
  <sheetViews>
    <sheetView tabSelected="1" workbookViewId="0">
      <selection activeCell="I16" sqref="I16"/>
    </sheetView>
  </sheetViews>
  <sheetFormatPr defaultRowHeight="15" x14ac:dyDescent="0.25"/>
  <cols>
    <col min="1" max="1" width="26.7109375" style="1" bestFit="1" customWidth="1"/>
    <col min="2" max="2" width="20" style="1" customWidth="1"/>
    <col min="3" max="6" width="9.140625" style="1"/>
    <col min="7" max="7" width="19" style="1" bestFit="1" customWidth="1"/>
    <col min="8" max="8" width="12.7109375" style="1" bestFit="1" customWidth="1"/>
    <col min="9" max="9" width="20.85546875" style="1" customWidth="1"/>
    <col min="11" max="11" width="17.85546875" style="1" bestFit="1" customWidth="1"/>
    <col min="12" max="12" width="8.85546875" style="1" bestFit="1" customWidth="1"/>
    <col min="13" max="13" width="19.5703125" style="1" bestFit="1" customWidth="1"/>
    <col min="14" max="16384" width="9.140625" style="1"/>
  </cols>
  <sheetData>
    <row r="3" spans="1:13" x14ac:dyDescent="0.25">
      <c r="A3" s="1" t="s">
        <v>19</v>
      </c>
      <c r="B3" s="1">
        <v>3.3</v>
      </c>
      <c r="G3" s="1" t="s">
        <v>0</v>
      </c>
      <c r="I3" s="1" t="s">
        <v>2</v>
      </c>
      <c r="J3" s="1" t="s">
        <v>18</v>
      </c>
      <c r="K3" s="1" t="s">
        <v>16</v>
      </c>
      <c r="L3" s="1" t="s">
        <v>10</v>
      </c>
      <c r="M3" s="1" t="s">
        <v>14</v>
      </c>
    </row>
    <row r="4" spans="1:13" x14ac:dyDescent="0.25">
      <c r="G4" s="2" t="s">
        <v>7</v>
      </c>
      <c r="I4" s="2" t="s">
        <v>8</v>
      </c>
      <c r="J4" s="2" t="s">
        <v>17</v>
      </c>
      <c r="K4" s="2" t="s">
        <v>8</v>
      </c>
      <c r="L4" s="2" t="s">
        <v>11</v>
      </c>
      <c r="M4" s="2" t="s">
        <v>13</v>
      </c>
    </row>
    <row r="5" spans="1:13" x14ac:dyDescent="0.25">
      <c r="A5" s="1" t="s">
        <v>6</v>
      </c>
      <c r="B5" s="1">
        <v>1.7</v>
      </c>
      <c r="G5" s="1">
        <v>47</v>
      </c>
      <c r="I5" s="1">
        <v>8</v>
      </c>
      <c r="J5" s="1">
        <v>1.7</v>
      </c>
      <c r="K5" s="1">
        <f>I5-$B$15</f>
        <v>7</v>
      </c>
      <c r="L5" s="1">
        <f>$B$10*(K5*10^-3)</f>
        <v>2800</v>
      </c>
      <c r="M5" s="1">
        <f>L5/$B$9</f>
        <v>44.444444444444443</v>
      </c>
    </row>
    <row r="6" spans="1:13" x14ac:dyDescent="0.25">
      <c r="A6" s="1" t="s">
        <v>1</v>
      </c>
      <c r="B6" s="1">
        <v>0</v>
      </c>
      <c r="G6" s="1">
        <v>11</v>
      </c>
      <c r="I6" s="1">
        <v>7.84</v>
      </c>
      <c r="J6" s="1">
        <v>1.7</v>
      </c>
      <c r="K6" s="1">
        <f>I6-$B$15</f>
        <v>6.84</v>
      </c>
      <c r="L6" s="1">
        <f>$B$10*(K6*10^-3)</f>
        <v>2736</v>
      </c>
      <c r="M6" s="1">
        <f>L6/$B$9</f>
        <v>43.428571428571431</v>
      </c>
    </row>
    <row r="7" spans="1:13" x14ac:dyDescent="0.25">
      <c r="A7" s="1" t="s">
        <v>20</v>
      </c>
      <c r="B7" s="1">
        <v>56800</v>
      </c>
      <c r="C7" s="1" t="s">
        <v>21</v>
      </c>
      <c r="G7" s="1">
        <v>0</v>
      </c>
      <c r="I7" s="1">
        <v>1.6</v>
      </c>
      <c r="J7" s="1">
        <v>1.7</v>
      </c>
      <c r="K7" s="1">
        <f>I7-$B$15</f>
        <v>0.60000000000000009</v>
      </c>
      <c r="L7" s="1">
        <f>$B$10*(K7*10^-3)</f>
        <v>240.00000000000003</v>
      </c>
      <c r="M7" s="1">
        <f>L7/$B$9</f>
        <v>3.8095238095238098</v>
      </c>
    </row>
    <row r="9" spans="1:13" x14ac:dyDescent="0.25">
      <c r="A9" s="1" t="s">
        <v>12</v>
      </c>
      <c r="B9" s="1">
        <v>63</v>
      </c>
    </row>
    <row r="10" spans="1:13" x14ac:dyDescent="0.25">
      <c r="A10" s="1" t="s">
        <v>3</v>
      </c>
      <c r="B10" s="1">
        <v>400000</v>
      </c>
      <c r="C10" s="1" t="s">
        <v>9</v>
      </c>
      <c r="J10" s="1"/>
    </row>
    <row r="11" spans="1:13" x14ac:dyDescent="0.25">
      <c r="B11" s="1">
        <f>1/B10</f>
        <v>2.5000000000000002E-6</v>
      </c>
      <c r="C11" s="1" t="s">
        <v>4</v>
      </c>
      <c r="J11" s="1"/>
    </row>
    <row r="12" spans="1:13" x14ac:dyDescent="0.25">
      <c r="B12" s="1">
        <f>B11*10^6</f>
        <v>2.5</v>
      </c>
      <c r="C12" s="1" t="s">
        <v>5</v>
      </c>
      <c r="G12" s="1" t="s">
        <v>22</v>
      </c>
      <c r="H12" s="1">
        <f>-(B19/(B7*LN(B5/B3)))</f>
        <v>4.3264636333836179E-8</v>
      </c>
      <c r="I12" s="1" t="s">
        <v>26</v>
      </c>
      <c r="J12" s="1"/>
    </row>
    <row r="13" spans="1:13" x14ac:dyDescent="0.25">
      <c r="H13" s="1">
        <f>H12*10^6</f>
        <v>4.3264636333836176E-2</v>
      </c>
      <c r="I13" s="1" t="s">
        <v>7</v>
      </c>
    </row>
    <row r="14" spans="1:13" x14ac:dyDescent="0.25">
      <c r="H14" s="1">
        <f>H12*10^9</f>
        <v>43.264636333836179</v>
      </c>
      <c r="I14" s="1" t="s">
        <v>25</v>
      </c>
    </row>
    <row r="15" spans="1:13" x14ac:dyDescent="0.25">
      <c r="A15" s="1" t="s">
        <v>15</v>
      </c>
      <c r="B15" s="1">
        <v>1</v>
      </c>
      <c r="C15" s="2" t="s">
        <v>8</v>
      </c>
    </row>
    <row r="17" spans="1:3" x14ac:dyDescent="0.25">
      <c r="A17" s="1" t="s">
        <v>23</v>
      </c>
      <c r="B17" s="1">
        <v>4</v>
      </c>
    </row>
    <row r="18" spans="1:3" x14ac:dyDescent="0.25">
      <c r="A18" s="1" t="s">
        <v>24</v>
      </c>
      <c r="B18" s="1">
        <f>B17*B9</f>
        <v>252</v>
      </c>
    </row>
    <row r="19" spans="1:3" x14ac:dyDescent="0.25">
      <c r="A19" s="1" t="s">
        <v>16</v>
      </c>
      <c r="B19" s="1">
        <f>B15*10^-3+((B18/B10))</f>
        <v>1.6299999999999999E-3</v>
      </c>
      <c r="C19" s="2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Micek, Vojtech</dc:creator>
  <cp:lastModifiedBy>Micek, Vojtech</cp:lastModifiedBy>
  <dcterms:created xsi:type="dcterms:W3CDTF">2025-03-14T10:19:49Z</dcterms:created>
  <dcterms:modified xsi:type="dcterms:W3CDTF">2025-03-14T11:14:19Z</dcterms:modified>
</cp:coreProperties>
</file>